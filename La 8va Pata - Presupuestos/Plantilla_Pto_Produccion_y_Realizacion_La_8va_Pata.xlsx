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checkCompatibility="1"/>
  <mc:AlternateContent xmlns:mc="http://schemas.openxmlformats.org/markup-compatibility/2006">
    <mc:Choice Requires="x15">
      <x15ac:absPath xmlns:x15ac="http://schemas.microsoft.com/office/spreadsheetml/2010/11/ac" url="/Users/josecarlos/Desktop/Proyectos/2025/8va Pata/001 Plantillas/"/>
    </mc:Choice>
  </mc:AlternateContent>
  <xr:revisionPtr revIDLastSave="0" documentId="13_ncr:1_{FA3027E8-C949-DF4A-868C-71CED6EB2FAA}" xr6:coauthVersionLast="47" xr6:coauthVersionMax="47" xr10:uidLastSave="{00000000-0000-0000-0000-000000000000}"/>
  <bookViews>
    <workbookView xWindow="4340" yWindow="500" windowWidth="24460" windowHeight="14180" tabRatio="500" activeTab="1" xr2:uid="{00000000-000D-0000-FFFF-FFFF00000000}"/>
  </bookViews>
  <sheets>
    <sheet name="Pto. Dólares-Soles" sheetId="1" r:id="rId1"/>
    <sheet name="Pto. Realización" sheetId="2" r:id="rId2"/>
  </sheets>
  <definedNames>
    <definedName name="_xlnm.Print_Area" localSheetId="0">'Pto. Dólares-Soles'!$A$1:$G$78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20" i="2" l="1"/>
  <c r="I16" i="2" l="1"/>
  <c r="J16" i="2" s="1"/>
  <c r="I21" i="2"/>
  <c r="F38" i="2"/>
  <c r="I38" i="2"/>
  <c r="J38" i="2" s="1"/>
  <c r="F39" i="2"/>
  <c r="I39" i="2" s="1"/>
  <c r="J39" i="2" s="1"/>
  <c r="I11" i="2"/>
  <c r="J11" i="2" s="1"/>
  <c r="I40" i="2"/>
  <c r="J40" i="2" s="1"/>
  <c r="I83" i="2"/>
  <c r="J83" i="2" s="1"/>
  <c r="F182" i="1"/>
  <c r="F171" i="1"/>
  <c r="G171" i="1" s="1"/>
  <c r="F173" i="1"/>
  <c r="G173" i="1" s="1"/>
  <c r="F174" i="1"/>
  <c r="G174" i="1" s="1"/>
  <c r="F177" i="1"/>
  <c r="F178" i="1"/>
  <c r="G178" i="1" s="1"/>
  <c r="F179" i="1"/>
  <c r="G179" i="1" s="1"/>
  <c r="F180" i="1"/>
  <c r="F183" i="1"/>
  <c r="G183" i="1" s="1"/>
  <c r="F185" i="1"/>
  <c r="G185" i="1" s="1"/>
  <c r="F186" i="1"/>
  <c r="G186" i="1" s="1"/>
  <c r="F188" i="1"/>
  <c r="F203" i="1"/>
  <c r="G203" i="1" s="1"/>
  <c r="F201" i="1"/>
  <c r="G201" i="1" s="1"/>
  <c r="F202" i="1"/>
  <c r="F204" i="1"/>
  <c r="F205" i="1"/>
  <c r="G205" i="1" s="1"/>
  <c r="F206" i="1"/>
  <c r="F207" i="1"/>
  <c r="G207" i="1" s="1"/>
  <c r="F208" i="1"/>
  <c r="F219" i="1"/>
  <c r="G219" i="1" s="1"/>
  <c r="F217" i="1"/>
  <c r="G217" i="1" s="1"/>
  <c r="F218" i="1"/>
  <c r="G218" i="1" s="1"/>
  <c r="F220" i="1"/>
  <c r="G220" i="1" s="1"/>
  <c r="F221" i="1"/>
  <c r="G221" i="1" s="1"/>
  <c r="F98" i="1"/>
  <c r="G98" i="1" s="1"/>
  <c r="F99" i="1"/>
  <c r="G99" i="1" s="1"/>
  <c r="F100" i="1"/>
  <c r="G100" i="1" s="1"/>
  <c r="F101" i="1"/>
  <c r="G101" i="1" s="1"/>
  <c r="F102" i="1"/>
  <c r="G102" i="1" s="1"/>
  <c r="F103" i="1"/>
  <c r="G103" i="1" s="1"/>
  <c r="F104" i="1"/>
  <c r="F105" i="1"/>
  <c r="F106" i="1"/>
  <c r="G106" i="1" s="1"/>
  <c r="F107" i="1"/>
  <c r="F108" i="1"/>
  <c r="G108" i="1" s="1"/>
  <c r="F109" i="1"/>
  <c r="G109" i="1" s="1"/>
  <c r="F112" i="1"/>
  <c r="G112" i="1" s="1"/>
  <c r="F114" i="1"/>
  <c r="G114" i="1" s="1"/>
  <c r="F115" i="1"/>
  <c r="F116" i="1"/>
  <c r="G116" i="1" s="1"/>
  <c r="F117" i="1"/>
  <c r="G117" i="1" s="1"/>
  <c r="F118" i="1"/>
  <c r="G118" i="1" s="1"/>
  <c r="F121" i="1"/>
  <c r="F122" i="1"/>
  <c r="F123" i="1"/>
  <c r="G123" i="1" s="1"/>
  <c r="F124" i="1"/>
  <c r="G124" i="1" s="1"/>
  <c r="F125" i="1"/>
  <c r="F126" i="1"/>
  <c r="G126" i="1" s="1"/>
  <c r="F127" i="1"/>
  <c r="F128" i="1"/>
  <c r="G128" i="1" s="1"/>
  <c r="F129" i="1"/>
  <c r="F130" i="1"/>
  <c r="F133" i="1"/>
  <c r="G133" i="1" s="1"/>
  <c r="F134" i="1"/>
  <c r="G134" i="1" s="1"/>
  <c r="F135" i="1"/>
  <c r="G135" i="1" s="1"/>
  <c r="F136" i="1"/>
  <c r="G136" i="1" s="1"/>
  <c r="F137" i="1"/>
  <c r="G137" i="1" s="1"/>
  <c r="F138" i="1"/>
  <c r="F139" i="1"/>
  <c r="F140" i="1"/>
  <c r="G140" i="1" s="1"/>
  <c r="F141" i="1"/>
  <c r="G141" i="1" s="1"/>
  <c r="F142" i="1"/>
  <c r="F143" i="1"/>
  <c r="G143" i="1" s="1"/>
  <c r="F144" i="1"/>
  <c r="F145" i="1"/>
  <c r="G145" i="1" s="1"/>
  <c r="F146" i="1"/>
  <c r="F147" i="1"/>
  <c r="F148" i="1"/>
  <c r="G148" i="1" s="1"/>
  <c r="F149" i="1"/>
  <c r="G149" i="1" s="1"/>
  <c r="F150" i="1"/>
  <c r="G150" i="1" s="1"/>
  <c r="F151" i="1"/>
  <c r="F155" i="1"/>
  <c r="G155" i="1" s="1"/>
  <c r="F156" i="1"/>
  <c r="F157" i="1"/>
  <c r="F160" i="1"/>
  <c r="F161" i="1"/>
  <c r="F162" i="1"/>
  <c r="F163" i="1"/>
  <c r="F165" i="1"/>
  <c r="G165" i="1" s="1"/>
  <c r="F191" i="1"/>
  <c r="G191" i="1" s="1"/>
  <c r="F192" i="1"/>
  <c r="F193" i="1"/>
  <c r="G193" i="1" s="1"/>
  <c r="F194" i="1"/>
  <c r="G194" i="1" s="1"/>
  <c r="F195" i="1"/>
  <c r="G195" i="1" s="1"/>
  <c r="F196" i="1"/>
  <c r="F197" i="1"/>
  <c r="G197" i="1" s="1"/>
  <c r="F198" i="1"/>
  <c r="G198" i="1" s="1"/>
  <c r="F211" i="1"/>
  <c r="G211" i="1" s="1"/>
  <c r="F212" i="1"/>
  <c r="G212" i="1" s="1"/>
  <c r="F213" i="1"/>
  <c r="F214" i="1"/>
  <c r="F224" i="1"/>
  <c r="F225" i="1"/>
  <c r="F226" i="1"/>
  <c r="F227" i="1"/>
  <c r="G227" i="1" s="1"/>
  <c r="F228" i="1"/>
  <c r="G228" i="1" s="1"/>
  <c r="F229" i="1"/>
  <c r="F230" i="1"/>
  <c r="F231" i="1"/>
  <c r="G231" i="1" s="1"/>
  <c r="F232" i="1"/>
  <c r="G232" i="1" s="1"/>
  <c r="F233" i="1"/>
  <c r="F237" i="1"/>
  <c r="F238" i="1"/>
  <c r="G238" i="1" s="1"/>
  <c r="F239" i="1"/>
  <c r="G239" i="1" s="1"/>
  <c r="F240" i="1"/>
  <c r="F241" i="1"/>
  <c r="F243" i="1"/>
  <c r="G243" i="1" s="1"/>
  <c r="F244" i="1"/>
  <c r="G244" i="1" s="1"/>
  <c r="F245" i="1"/>
  <c r="F246" i="1"/>
  <c r="F247" i="1"/>
  <c r="G247" i="1" s="1"/>
  <c r="F248" i="1"/>
  <c r="F249" i="1"/>
  <c r="F252" i="1"/>
  <c r="F253" i="1" s="1"/>
  <c r="I9" i="2"/>
  <c r="J9" i="2" s="1"/>
  <c r="I10" i="2"/>
  <c r="I12" i="2"/>
  <c r="I13" i="2"/>
  <c r="I14" i="2"/>
  <c r="I15" i="2"/>
  <c r="J15" i="2" s="1"/>
  <c r="I17" i="2"/>
  <c r="I18" i="2"/>
  <c r="J18" i="2" s="1"/>
  <c r="I19" i="2"/>
  <c r="J19" i="2" s="1"/>
  <c r="I20" i="2"/>
  <c r="I22" i="2"/>
  <c r="I23" i="2"/>
  <c r="I24" i="2"/>
  <c r="J24" i="2" s="1"/>
  <c r="I25" i="2"/>
  <c r="I26" i="2"/>
  <c r="I27" i="2"/>
  <c r="J27" i="2" s="1"/>
  <c r="I28" i="2"/>
  <c r="J28" i="2" s="1"/>
  <c r="I29" i="2"/>
  <c r="I30" i="2"/>
  <c r="I31" i="2"/>
  <c r="I32" i="2"/>
  <c r="J32" i="2" s="1"/>
  <c r="I33" i="2"/>
  <c r="I34" i="2"/>
  <c r="I35" i="2"/>
  <c r="I36" i="2"/>
  <c r="J36" i="2" s="1"/>
  <c r="I37" i="2"/>
  <c r="I41" i="2"/>
  <c r="J41" i="2" s="1"/>
  <c r="I42" i="2"/>
  <c r="I45" i="2"/>
  <c r="I48" i="2"/>
  <c r="I49" i="2"/>
  <c r="I50" i="2"/>
  <c r="I51" i="2"/>
  <c r="I52" i="2"/>
  <c r="I53" i="2"/>
  <c r="I54" i="2"/>
  <c r="I55" i="2"/>
  <c r="I56" i="2"/>
  <c r="I57" i="2"/>
  <c r="J57" i="2" s="1"/>
  <c r="I58" i="2"/>
  <c r="I59" i="2"/>
  <c r="I60" i="2"/>
  <c r="I61" i="2"/>
  <c r="I62" i="2"/>
  <c r="I63" i="2"/>
  <c r="I64" i="2"/>
  <c r="I65" i="2"/>
  <c r="J65" i="2" s="1"/>
  <c r="I66" i="2"/>
  <c r="I67" i="2"/>
  <c r="I68" i="2"/>
  <c r="I69" i="2"/>
  <c r="I70" i="2"/>
  <c r="I71" i="2"/>
  <c r="I72" i="2"/>
  <c r="I73" i="2"/>
  <c r="J73" i="2" s="1"/>
  <c r="I74" i="2"/>
  <c r="I75" i="2"/>
  <c r="I76" i="2"/>
  <c r="I77" i="2"/>
  <c r="I78" i="2"/>
  <c r="I79" i="2"/>
  <c r="I80" i="2"/>
  <c r="I81" i="2"/>
  <c r="J81" i="2" s="1"/>
  <c r="I82" i="2"/>
  <c r="I84" i="2"/>
  <c r="I87" i="2"/>
  <c r="K94" i="2" s="1"/>
  <c r="I88" i="2"/>
  <c r="J88" i="2" s="1"/>
  <c r="I89" i="2"/>
  <c r="I90" i="2"/>
  <c r="I91" i="2"/>
  <c r="I92" i="2"/>
  <c r="J92" i="2" s="1"/>
  <c r="I93" i="2"/>
  <c r="I96" i="2"/>
  <c r="I97" i="2"/>
  <c r="I98" i="2"/>
  <c r="J98" i="2" s="1"/>
  <c r="I99" i="2"/>
  <c r="I100" i="2"/>
  <c r="I101" i="2"/>
  <c r="I102" i="2"/>
  <c r="J102" i="2" s="1"/>
  <c r="I103" i="2"/>
  <c r="I104" i="2"/>
  <c r="I105" i="2"/>
  <c r="I106" i="2"/>
  <c r="J106" i="2" s="1"/>
  <c r="I109" i="2"/>
  <c r="J109" i="2" s="1"/>
  <c r="I110" i="2"/>
  <c r="I111" i="2"/>
  <c r="J111" i="2" s="1"/>
  <c r="I112" i="2"/>
  <c r="I115" i="2"/>
  <c r="J115" i="2" s="1"/>
  <c r="I116" i="2"/>
  <c r="J116" i="2" s="1"/>
  <c r="I117" i="2"/>
  <c r="J117" i="2" s="1"/>
  <c r="I118" i="2"/>
  <c r="I119" i="2"/>
  <c r="J119" i="2" s="1"/>
  <c r="I120" i="2"/>
  <c r="J120" i="2" s="1"/>
  <c r="I121" i="2"/>
  <c r="I122" i="2"/>
  <c r="J122" i="2" s="1"/>
  <c r="I123" i="2"/>
  <c r="I124" i="2"/>
  <c r="G180" i="1"/>
  <c r="G104" i="1"/>
  <c r="G164" i="1"/>
  <c r="G161" i="1"/>
  <c r="G160" i="1"/>
  <c r="G158" i="1"/>
  <c r="G151" i="1"/>
  <c r="G147" i="1"/>
  <c r="G146" i="1"/>
  <c r="G144" i="1"/>
  <c r="G142" i="1"/>
  <c r="G139" i="1"/>
  <c r="G138" i="1"/>
  <c r="G107" i="1"/>
  <c r="G105" i="1"/>
  <c r="J17" i="2"/>
  <c r="J124" i="2"/>
  <c r="J123" i="2"/>
  <c r="J121" i="2"/>
  <c r="J110" i="2"/>
  <c r="J105" i="2"/>
  <c r="J104" i="2"/>
  <c r="J103" i="2"/>
  <c r="J101" i="2"/>
  <c r="J100" i="2"/>
  <c r="J99" i="2"/>
  <c r="J97" i="2"/>
  <c r="J96" i="2"/>
  <c r="J93" i="2"/>
  <c r="J91" i="2"/>
  <c r="J90" i="2"/>
  <c r="J89" i="2"/>
  <c r="J84" i="2"/>
  <c r="J82" i="2"/>
  <c r="J80" i="2"/>
  <c r="J79" i="2"/>
  <c r="J78" i="2"/>
  <c r="J77" i="2"/>
  <c r="J76" i="2"/>
  <c r="J75" i="2"/>
  <c r="J74" i="2"/>
  <c r="J72" i="2"/>
  <c r="J71" i="2"/>
  <c r="J70" i="2"/>
  <c r="J69" i="2"/>
  <c r="J68" i="2"/>
  <c r="J67" i="2"/>
  <c r="J66" i="2"/>
  <c r="J64" i="2"/>
  <c r="J63" i="2"/>
  <c r="J62" i="2"/>
  <c r="J61" i="2"/>
  <c r="J60" i="2"/>
  <c r="J59" i="2"/>
  <c r="J58" i="2"/>
  <c r="J56" i="2"/>
  <c r="J55" i="2"/>
  <c r="J54" i="2"/>
  <c r="J53" i="2"/>
  <c r="J52" i="2"/>
  <c r="J51" i="2"/>
  <c r="J50" i="2"/>
  <c r="J48" i="2"/>
  <c r="J45" i="2"/>
  <c r="J42" i="2"/>
  <c r="J37" i="2"/>
  <c r="J35" i="2"/>
  <c r="J34" i="2"/>
  <c r="J33" i="2"/>
  <c r="J31" i="2"/>
  <c r="J30" i="2"/>
  <c r="J29" i="2"/>
  <c r="J26" i="2"/>
  <c r="J25" i="2"/>
  <c r="J23" i="2"/>
  <c r="J22" i="2"/>
  <c r="J21" i="2"/>
  <c r="J20" i="2"/>
  <c r="J14" i="2"/>
  <c r="J13" i="2"/>
  <c r="J12" i="2"/>
  <c r="J10" i="2"/>
  <c r="A93" i="1"/>
  <c r="A94" i="1"/>
  <c r="G249" i="1"/>
  <c r="G248" i="1"/>
  <c r="G246" i="1"/>
  <c r="G245" i="1"/>
  <c r="G242" i="1"/>
  <c r="G241" i="1"/>
  <c r="G240" i="1"/>
  <c r="G237" i="1"/>
  <c r="G233" i="1"/>
  <c r="G230" i="1"/>
  <c r="G229" i="1"/>
  <c r="G226" i="1"/>
  <c r="G225" i="1"/>
  <c r="G214" i="1"/>
  <c r="G213" i="1"/>
  <c r="G208" i="1"/>
  <c r="G206" i="1"/>
  <c r="G204" i="1"/>
  <c r="G202" i="1"/>
  <c r="G196" i="1"/>
  <c r="G192" i="1"/>
  <c r="G188" i="1"/>
  <c r="G182" i="1"/>
  <c r="G177" i="1"/>
  <c r="G163" i="1"/>
  <c r="G162" i="1"/>
  <c r="G157" i="1"/>
  <c r="G156" i="1"/>
  <c r="G130" i="1"/>
  <c r="G129" i="1"/>
  <c r="G127" i="1"/>
  <c r="G125" i="1"/>
  <c r="G122" i="1"/>
  <c r="G121" i="1"/>
  <c r="G115" i="1"/>
  <c r="G113" i="1"/>
  <c r="M136" i="2"/>
  <c r="I219" i="2"/>
  <c r="K113" i="2" l="1"/>
  <c r="J87" i="2"/>
  <c r="K85" i="2"/>
  <c r="G252" i="1"/>
  <c r="G253" i="1" s="1"/>
  <c r="J49" i="2"/>
  <c r="F44" i="2"/>
  <c r="I44" i="2" s="1"/>
  <c r="J44" i="2" s="1"/>
  <c r="G222" i="1"/>
  <c r="F209" i="1"/>
  <c r="F234" i="1"/>
  <c r="F250" i="1"/>
  <c r="F168" i="1"/>
  <c r="F199" i="1"/>
  <c r="F222" i="1"/>
  <c r="G199" i="1"/>
  <c r="G168" i="1"/>
  <c r="K125" i="2"/>
  <c r="G250" i="1"/>
  <c r="G189" i="1"/>
  <c r="G152" i="1"/>
  <c r="G209" i="1"/>
  <c r="G131" i="1"/>
  <c r="K107" i="2"/>
  <c r="G224" i="1"/>
  <c r="G234" i="1" s="1"/>
  <c r="J112" i="2"/>
  <c r="J118" i="2"/>
  <c r="F215" i="1"/>
  <c r="G215" i="1" s="1"/>
  <c r="F152" i="1"/>
  <c r="F131" i="1"/>
  <c r="F189" i="1"/>
  <c r="F255" i="1" l="1"/>
  <c r="F256" i="1" l="1"/>
  <c r="G256" i="1" s="1"/>
  <c r="G255" i="1"/>
  <c r="F258" i="1" l="1"/>
  <c r="F20" i="1" s="1"/>
  <c r="G20" i="1" s="1"/>
  <c r="G258" i="1" l="1"/>
  <c r="F43" i="2" l="1"/>
  <c r="I43" i="2" s="1"/>
  <c r="J43" i="2" l="1"/>
  <c r="J126" i="2" s="1"/>
  <c r="I126" i="2"/>
  <c r="I131" i="2" s="1"/>
  <c r="I132" i="2" s="1"/>
  <c r="K46" i="2"/>
  <c r="K126" i="2" s="1"/>
  <c r="J132" i="2" l="1"/>
  <c r="J131" i="2"/>
  <c r="I133" i="2" l="1"/>
  <c r="I134" i="2" l="1"/>
  <c r="J134" i="2" s="1"/>
  <c r="I135" i="2"/>
  <c r="J135" i="2" s="1"/>
  <c r="J133" i="2"/>
  <c r="I136" i="2" l="1"/>
  <c r="N136" i="2" s="1"/>
  <c r="F28" i="1" l="1"/>
  <c r="F34" i="1" s="1"/>
  <c r="G34" i="1" s="1"/>
  <c r="J136" i="2"/>
  <c r="G28" i="1" l="1"/>
  <c r="F40" i="1"/>
  <c r="F67" i="1" l="1"/>
  <c r="G67" i="1" s="1"/>
  <c r="F68" i="1"/>
  <c r="G68" i="1" s="1"/>
  <c r="G40" i="1"/>
  <c r="F69" i="1"/>
  <c r="G69" i="1" s="1"/>
  <c r="F66" i="1"/>
  <c r="G66" i="1" s="1"/>
</calcChain>
</file>

<file path=xl/sharedStrings.xml><?xml version="1.0" encoding="utf-8"?>
<sst xmlns="http://schemas.openxmlformats.org/spreadsheetml/2006/main" count="324" uniqueCount="303">
  <si>
    <t>Atención:</t>
  </si>
  <si>
    <t>Cliente:</t>
  </si>
  <si>
    <t>Producto:</t>
  </si>
  <si>
    <t>Motivo:</t>
  </si>
  <si>
    <t>Duración:</t>
  </si>
  <si>
    <t>Formato:</t>
  </si>
  <si>
    <t>Días de Rodaje:</t>
  </si>
  <si>
    <t>Director:</t>
  </si>
  <si>
    <t>Fecha:</t>
  </si>
  <si>
    <t>Incluye:</t>
  </si>
  <si>
    <t>Servicio de Realización</t>
  </si>
  <si>
    <t>Número de Presupuesto:</t>
  </si>
  <si>
    <t>Observaciones</t>
  </si>
  <si>
    <t>implicará una revisión del presupuesto. No incluye copias adicionales, artes, logos, etc.</t>
  </si>
  <si>
    <t>Día adicional de filmación (Weather Day):</t>
  </si>
  <si>
    <t>Cancelación de TVC a 7 días:</t>
  </si>
  <si>
    <t>Cancelación de TVC a 48 horas:</t>
  </si>
  <si>
    <t>Cancelación de TVC a 24 horas:</t>
  </si>
  <si>
    <t>Desglose de Producción</t>
  </si>
  <si>
    <t>Cantidad</t>
  </si>
  <si>
    <t>Días</t>
  </si>
  <si>
    <t>Costo Unit.</t>
  </si>
  <si>
    <t>Total</t>
  </si>
  <si>
    <t>Casting / Modelos</t>
  </si>
  <si>
    <t>Modelos / Actores Secundarios</t>
  </si>
  <si>
    <t xml:space="preserve">Extras </t>
  </si>
  <si>
    <t>Cambio de fecha de pasaje</t>
  </si>
  <si>
    <t>Hotel</t>
  </si>
  <si>
    <t>Viáticos</t>
  </si>
  <si>
    <t>Equipo Artistico</t>
  </si>
  <si>
    <t>Director de Arte</t>
  </si>
  <si>
    <t>Utilero</t>
  </si>
  <si>
    <t>Maquillador</t>
  </si>
  <si>
    <t>Peinador</t>
  </si>
  <si>
    <t>Vestuarista</t>
  </si>
  <si>
    <t>Dpto. de Arte - Estudio</t>
  </si>
  <si>
    <t>Alquiler de Estudio</t>
  </si>
  <si>
    <t>Estudio</t>
  </si>
  <si>
    <t>Locaciones</t>
  </si>
  <si>
    <t>Retoque de Locaciones</t>
  </si>
  <si>
    <t>Producto (Cliente)</t>
  </si>
  <si>
    <t>Alquiler de Vestuario</t>
  </si>
  <si>
    <t>Escenografía</t>
  </si>
  <si>
    <t>Dummies</t>
  </si>
  <si>
    <t>Accesorios</t>
  </si>
  <si>
    <t>Varios</t>
  </si>
  <si>
    <t>Transportes</t>
  </si>
  <si>
    <t>Movilidad recojo y devolución de utilería</t>
  </si>
  <si>
    <t>Alimentación</t>
  </si>
  <si>
    <t>Refrigerio de Pre producción</t>
  </si>
  <si>
    <t>Refrigerio de visita de locaciones</t>
  </si>
  <si>
    <t>Desayuno, almuerzo y cena día 1</t>
  </si>
  <si>
    <t>Desayuno, almuerzo y cena día 2</t>
  </si>
  <si>
    <t>Seguros - Permisos</t>
  </si>
  <si>
    <t>Otros gastos adicionales no considerados</t>
  </si>
  <si>
    <t>Logistica</t>
  </si>
  <si>
    <t>Imprevistos</t>
  </si>
  <si>
    <t>Requerimientos Técnicos</t>
  </si>
  <si>
    <t>Dolly</t>
  </si>
  <si>
    <t>Total Dólares</t>
  </si>
  <si>
    <t>Total Soles</t>
  </si>
  <si>
    <t>GRAN TOTAL: US / SOLES:</t>
  </si>
  <si>
    <t>Musicalización + Post-Producción</t>
  </si>
  <si>
    <t>Producción</t>
  </si>
  <si>
    <t>Supervisión de Producción</t>
  </si>
  <si>
    <t>Sub Total Dólares y Soles</t>
  </si>
  <si>
    <t>Gastos Administrativos</t>
  </si>
  <si>
    <t>Total Dólares y Soles</t>
  </si>
  <si>
    <t>Sub Total - Gastos Administrativos</t>
  </si>
  <si>
    <t>CLIENTE</t>
  </si>
  <si>
    <t>Desglose interno de Realización</t>
  </si>
  <si>
    <t>Item</t>
  </si>
  <si>
    <t>Sub-Totales</t>
  </si>
  <si>
    <t>Personal Técnico</t>
  </si>
  <si>
    <t>Director 1</t>
  </si>
  <si>
    <t>Director 2</t>
  </si>
  <si>
    <t>Administración</t>
  </si>
  <si>
    <t>Devoluciones 2</t>
  </si>
  <si>
    <t>1er. Asistente de Dirección</t>
  </si>
  <si>
    <t>2do. Asistente de Dirección</t>
  </si>
  <si>
    <t>3er. Asistente de Dirección</t>
  </si>
  <si>
    <t>1er. Asistente de Cámara</t>
  </si>
  <si>
    <t>2do. Asistente de Cámara</t>
  </si>
  <si>
    <t>Gaffer</t>
  </si>
  <si>
    <t>Técnicos de Luces</t>
  </si>
  <si>
    <t>Grip</t>
  </si>
  <si>
    <t>Steady Cam</t>
  </si>
  <si>
    <t>Helicam</t>
  </si>
  <si>
    <t>Dolly Phanter</t>
  </si>
  <si>
    <t>Motion Control</t>
  </si>
  <si>
    <t>Story Board</t>
  </si>
  <si>
    <t>Conference Call</t>
  </si>
  <si>
    <t>Making Off</t>
  </si>
  <si>
    <t>Cobertura 8 Horas Adicionales</t>
  </si>
  <si>
    <t>Comisión Productor Agencia</t>
  </si>
  <si>
    <t>Mark Up</t>
  </si>
  <si>
    <t>Alquiler de Equipos</t>
  </si>
  <si>
    <t>Cámara Alexa XT</t>
  </si>
  <si>
    <t>Cámara Amira</t>
  </si>
  <si>
    <t>Cámara Epic Dragon</t>
  </si>
  <si>
    <t>Cámara Black Magic Poket</t>
  </si>
  <si>
    <t>Cámara Canon 5D Mark III</t>
  </si>
  <si>
    <t>Cámara Canon 6D</t>
  </si>
  <si>
    <t>Cámara Canon 7D</t>
  </si>
  <si>
    <t>Cámara Canon 60D</t>
  </si>
  <si>
    <t>Cámara Canon 1D</t>
  </si>
  <si>
    <t>Cobertura 6 Horas Adicionales</t>
  </si>
  <si>
    <t>Cámara Red Epic Mysterium X</t>
  </si>
  <si>
    <t>Cámara Red Epic X</t>
  </si>
  <si>
    <t>Cámara Red Scarlet X</t>
  </si>
  <si>
    <t>Cámara Sony A7s</t>
  </si>
  <si>
    <t>Luces / Accesorios</t>
  </si>
  <si>
    <t>Movilidades de Equipos</t>
  </si>
  <si>
    <t>Camión de Luces Lima</t>
  </si>
  <si>
    <t>Camión de Luces fuera de Lima</t>
  </si>
  <si>
    <t>Carro de Cámara Lima</t>
  </si>
  <si>
    <t>Carro de Cámara fuera de Lima</t>
  </si>
  <si>
    <t>Sonido Directo</t>
  </si>
  <si>
    <t>Van personal de Realización Lima</t>
  </si>
  <si>
    <t>Van personal de Realización fuera de Lima</t>
  </si>
  <si>
    <t>Pasajes</t>
  </si>
  <si>
    <t>Transporte (Van)</t>
  </si>
  <si>
    <t>Taxi</t>
  </si>
  <si>
    <t>Traslado Aeropuerto-Hotel-Aereopuerto</t>
  </si>
  <si>
    <t>Sobrepeso Equipajes</t>
  </si>
  <si>
    <t>Assist Card</t>
  </si>
  <si>
    <t>Gastos Adicionales</t>
  </si>
  <si>
    <t>Tomas de Stock</t>
  </si>
  <si>
    <t>Post Producción</t>
  </si>
  <si>
    <t>Off Line</t>
  </si>
  <si>
    <t>Copias Canal Betacam</t>
  </si>
  <si>
    <t>Copias Canal DVD</t>
  </si>
  <si>
    <t>Sesión tomas Fotográficas</t>
  </si>
  <si>
    <t>Óptica Master prime (16, 25, 35, 50, 85, 135mm T/1.3)</t>
  </si>
  <si>
    <t>Óptica Ultra prime (16, 24, 32, 50,85, 135mm T/1.9)</t>
  </si>
  <si>
    <t>Asistente de Video Assit</t>
  </si>
  <si>
    <t>Data Manager o D.I.T</t>
  </si>
  <si>
    <t>Cámara Phantom FLEX 2K 2550fpt HD</t>
  </si>
  <si>
    <t>Cámara Phantom GOLD 2K 1000fpt HD</t>
  </si>
  <si>
    <t>Cámara Sony F5</t>
  </si>
  <si>
    <t>Lente Macro Master Prime 100mm T/2.0-4.3</t>
  </si>
  <si>
    <t>Lente Ultra Prime 14mm T/1.9</t>
  </si>
  <si>
    <t>Lente Ultra Prime 40mm T/1.9</t>
  </si>
  <si>
    <t>Lente Ultra Prime 180mm T/1.9</t>
  </si>
  <si>
    <t>Lente Master Prime 135mm T/2.0-4.3</t>
  </si>
  <si>
    <t>Lente Zoom Angenieux Optimo 28-340mm 12X T/2.3</t>
  </si>
  <si>
    <t>Lente Zoom Arri/Fujinon Alura 18-80mm T/2.6</t>
  </si>
  <si>
    <t>Sub Total Realización 1:</t>
  </si>
  <si>
    <t>Gastos Administrativos, Financieros y Bancarios:</t>
  </si>
  <si>
    <t>Sub Total Realización 2:</t>
  </si>
  <si>
    <t>Comisión de la Agencia (varia de acuerdo a la Agencia):</t>
  </si>
  <si>
    <t>Sub Total de Realización:</t>
  </si>
  <si>
    <t>Gran Total:</t>
  </si>
  <si>
    <t>Dólares</t>
  </si>
  <si>
    <t>Soles</t>
  </si>
  <si>
    <t>Tipo de Cambio:</t>
  </si>
  <si>
    <t>Monto a Liquidar</t>
  </si>
  <si>
    <t>Nombre Fact. o Recibo x Honorarios</t>
  </si>
  <si>
    <t># Fact. o Recibo</t>
  </si>
  <si>
    <t>Presupuesto válido por 15 días, este pto. se hizo con información proporcionada por la Agencia, cualquier modificación en el guión,</t>
  </si>
  <si>
    <t>Este presupuesto esta expresado en dólares americanos y en soles, no incluye IGV.</t>
  </si>
  <si>
    <t xml:space="preserve">No incluye cancelación de filmación por fenómenos climatológicos, lo cual generará gastos adicionales que serán </t>
  </si>
  <si>
    <t>asumidos por el Cliente.</t>
  </si>
  <si>
    <t>Scouting de locaciones</t>
  </si>
  <si>
    <t>Asistente de producción 1</t>
  </si>
  <si>
    <t>Asistente de producción 2</t>
  </si>
  <si>
    <t>Asistente de producción 3</t>
  </si>
  <si>
    <t>Pintado de estudio</t>
  </si>
  <si>
    <t xml:space="preserve">Armado y desarme </t>
  </si>
  <si>
    <t>Retoque de locaciones</t>
  </si>
  <si>
    <t>Vestuario - Utilería - Escenografía</t>
  </si>
  <si>
    <t>Dummies de poducto</t>
  </si>
  <si>
    <t>Movilidad visita del locaciones con Director</t>
  </si>
  <si>
    <t>Transporte personal del equipo de producción</t>
  </si>
  <si>
    <t>Transporte de modelos y extras</t>
  </si>
  <si>
    <t>Seguridad durante la filmación (Policías)</t>
  </si>
  <si>
    <t>Permisos municipales</t>
  </si>
  <si>
    <t>Caja de producción</t>
  </si>
  <si>
    <t>Grupo electrógeno</t>
  </si>
  <si>
    <t>Director de Fotografía Extranjero</t>
  </si>
  <si>
    <t>Director de Fotografía Extranjero (Scouting x día 50%)</t>
  </si>
  <si>
    <t>Disco Duros Externos</t>
  </si>
  <si>
    <t>Impuestos Aeropuerto</t>
  </si>
  <si>
    <t>Pasajes - Hoteles - Viáticos</t>
  </si>
  <si>
    <t>Director de Fotografía Extranjero (Viaje ida y vuelta 50%)</t>
  </si>
  <si>
    <t>T. Cambio</t>
  </si>
  <si>
    <t>Animación 3D</t>
  </si>
  <si>
    <t>Cámara Go Pro</t>
  </si>
  <si>
    <t>OJO TENER EN CUENTA.</t>
  </si>
  <si>
    <t>Cámara Blackmagic Ursa 4K</t>
  </si>
  <si>
    <t>Cámara Blackmagic  Mini Ursa 4.6K</t>
  </si>
  <si>
    <t>Cámara Blackmagic Cinema</t>
  </si>
  <si>
    <t>Cámara Blackmagic 4K</t>
  </si>
  <si>
    <t>Accesorios Cámara Blackmagic  Mini Ursa 4.6K(oficina)</t>
  </si>
  <si>
    <t>Operador de Dolly</t>
  </si>
  <si>
    <r>
      <t xml:space="preserve">Director de Fotografía Nacional </t>
    </r>
    <r>
      <rPr>
        <sz val="12"/>
        <color rgb="FFFF0000"/>
        <rFont val="ArialUnicodeMS"/>
        <family val="2"/>
      </rPr>
      <t>(Tarifa cambia x cada DF)</t>
    </r>
  </si>
  <si>
    <t>Porta jib</t>
  </si>
  <si>
    <t>Hot head</t>
  </si>
  <si>
    <t>Grúa</t>
  </si>
  <si>
    <t>Rotor</t>
  </si>
  <si>
    <t>Andamios</t>
  </si>
  <si>
    <t>Tela chroma</t>
  </si>
  <si>
    <t>Walkie Talkie - Megáfono</t>
  </si>
  <si>
    <t>Horas de estudio</t>
  </si>
  <si>
    <t>Horas FX</t>
  </si>
  <si>
    <t>Locuciones</t>
  </si>
  <si>
    <t>Locutor institucional para radio</t>
  </si>
  <si>
    <t>Locutor / Doblaje de personaje para TV</t>
  </si>
  <si>
    <t>Locutor / Doblaje de personaje para TV reducción</t>
  </si>
  <si>
    <t>Locutor / Doblaje de personaje para radio</t>
  </si>
  <si>
    <t xml:space="preserve">Audio </t>
  </si>
  <si>
    <t>Secundario</t>
  </si>
  <si>
    <t xml:space="preserve">Extras especiales </t>
  </si>
  <si>
    <t>Casting Extranjero</t>
  </si>
  <si>
    <t>Servicio de Casting Extranjero</t>
  </si>
  <si>
    <t>Gastos del Modelo / Actor extranjero</t>
  </si>
  <si>
    <t>Modelo / Actor principal</t>
  </si>
  <si>
    <t>30 % Impuestos</t>
  </si>
  <si>
    <t>Pase intersindical sindicato de artistas del Perú</t>
  </si>
  <si>
    <t>Pago sindicato de artistas del Perú (x actor extranjero)</t>
  </si>
  <si>
    <t>Tramitador</t>
  </si>
  <si>
    <t>Pasaje - Hotel - Viaticos</t>
  </si>
  <si>
    <t>Pasaje</t>
  </si>
  <si>
    <t>Pre pagado pasaje</t>
  </si>
  <si>
    <t>Traslados aeropuertos</t>
  </si>
  <si>
    <t>Impuesto aeropuertos</t>
  </si>
  <si>
    <t>Sobrepeso equipaje</t>
  </si>
  <si>
    <t>Assistcard</t>
  </si>
  <si>
    <t>Taxis</t>
  </si>
  <si>
    <t>Asistente de maquillador</t>
  </si>
  <si>
    <t>Asistente de vestuarista</t>
  </si>
  <si>
    <t>Caracterizador</t>
  </si>
  <si>
    <t>Adiestrador de animales</t>
  </si>
  <si>
    <t>Director de actores</t>
  </si>
  <si>
    <t>Psicólogo de niños</t>
  </si>
  <si>
    <t>Tratamiento de producto</t>
  </si>
  <si>
    <t>Movilidad Agencia día de filmación</t>
  </si>
  <si>
    <t>Mantenimiento día 1</t>
  </si>
  <si>
    <t>Mantenimiento día 2</t>
  </si>
  <si>
    <t>Desayuno, almuerzo y cena día 3</t>
  </si>
  <si>
    <t>Mantenimiento día 3</t>
  </si>
  <si>
    <t>Dron</t>
  </si>
  <si>
    <t>comisiones de la agencia formula(10%= /9) (13%= /6.5) (15%= /5.5) (20%= /4)</t>
  </si>
  <si>
    <t>Derechos YouTube x 6 seg c/u</t>
  </si>
  <si>
    <t>Todo Post</t>
  </si>
  <si>
    <t>Foto Fija</t>
  </si>
  <si>
    <t>Mark Up presupuesto de producción 10%(V. x Agencia)</t>
  </si>
  <si>
    <t>Secundario ambos comerciales</t>
  </si>
  <si>
    <t xml:space="preserve">Transporte de  pre producción </t>
  </si>
  <si>
    <t>Scouting de Locaciones</t>
  </si>
  <si>
    <t>Implementos Bioseguridad</t>
  </si>
  <si>
    <t>Coordinacion</t>
  </si>
  <si>
    <t>será licenciado al cliente, de forma exclusiva, y en la medida necesaria para las actividades habituales del cliente en la</t>
  </si>
  <si>
    <t>Dicha licencia podrá ser renovada por acuerdo de las partes</t>
  </si>
  <si>
    <t>Los derechos por uso de audio, musica y locuciones se negociara al momento de la renovacion</t>
  </si>
  <si>
    <t>Streaming</t>
  </si>
  <si>
    <t>Pruebas Covid</t>
  </si>
  <si>
    <t xml:space="preserve">Modelos / Actores Principales </t>
  </si>
  <si>
    <t>Servicio de Casting Nacional Archivo con Call Back</t>
  </si>
  <si>
    <t>Alquiler de Utileria</t>
  </si>
  <si>
    <t>Scouting Tecnico</t>
  </si>
  <si>
    <t>Efectos especiales Cerveza</t>
  </si>
  <si>
    <t>Caja para tomas de agua</t>
  </si>
  <si>
    <t>Hijo</t>
  </si>
  <si>
    <t>Cocina</t>
  </si>
  <si>
    <t>Pista de Archivo</t>
  </si>
  <si>
    <t>Dummies de etiquetas/ empaques</t>
  </si>
  <si>
    <t>Este primer dia de la difusión debe darse como máximo en 60 DIAS desde la aceptacion del presente presupuesto</t>
  </si>
  <si>
    <t>Re armado</t>
  </si>
  <si>
    <t>RENDER</t>
  </si>
  <si>
    <t>Director, productor ejecutivo, director de fotografía, equipo técnico, cámaras, luces, alquiler de equipos,</t>
  </si>
  <si>
    <t xml:space="preserve">audio directo, transporte, material de grabación, edición off line, edición on line, colorización, post producción, </t>
  </si>
  <si>
    <t>composición gráfica, 2D, 3D, copia "0".</t>
  </si>
  <si>
    <t>Agencia</t>
  </si>
  <si>
    <t>Mark Up 15%</t>
  </si>
  <si>
    <t>AUDIO</t>
  </si>
  <si>
    <t>Av. Jose Pardo 1357 - 801 Miraflores RUC 20602017487</t>
  </si>
  <si>
    <t>Contacto 8va Pata:</t>
  </si>
  <si>
    <t>Productor Ejecutivo Martina</t>
  </si>
  <si>
    <t xml:space="preserve">Devoluciones 1 </t>
  </si>
  <si>
    <t>Producción Ejecutiva Josek</t>
  </si>
  <si>
    <t xml:space="preserve">Locutor institucional </t>
  </si>
  <si>
    <t>Derechos locucion Guatemala x 25 videos</t>
  </si>
  <si>
    <t>Horas de Estdio Grabacion Mezcla y post</t>
  </si>
  <si>
    <t>Casting, modelos, extras, equipo artístico, estudio, locaciones, vestuario, utilería, escenografía,</t>
  </si>
  <si>
    <t>transporte, alimentación, seguros, permisos, requerimientos técnicos, otros gastos adicionales no considerados,</t>
  </si>
  <si>
    <t>servicio de audio y servicio de producción.</t>
  </si>
  <si>
    <t>territorio PERU, por la duración de 01 AÑO contados desde el primer día de la  de la difusion de la obra</t>
  </si>
  <si>
    <t>Derechos a ser exhibidos sólo en territorio dePeruano por un año, después de ese tiempo o por exhibición en otro país, se pagaran</t>
  </si>
  <si>
    <t xml:space="preserve">El derecho patrimonial de comunicación pública sobre la obra audiovisual titulada : </t>
  </si>
  <si>
    <t xml:space="preserve">época de la creación; para los canales : </t>
  </si>
  <si>
    <t>derechos de uso, 15% del costo del proyecto y el 100% de los honorarios de los Modelos</t>
  </si>
  <si>
    <t>Servicio de Produccion</t>
  </si>
  <si>
    <t xml:space="preserve">Forma de pago: </t>
  </si>
  <si>
    <t>Modelos Bailarines Colaboradores</t>
  </si>
  <si>
    <t>Extras - Clientes</t>
  </si>
  <si>
    <t>Seguros SCTR</t>
  </si>
  <si>
    <t>Ahon</t>
  </si>
  <si>
    <t>Coreografo</t>
  </si>
  <si>
    <t>Casino</t>
  </si>
  <si>
    <t>COLABORADORES</t>
  </si>
  <si>
    <t>Derechos de Modelos para Sala</t>
  </si>
  <si>
    <t>Financiamiento x 30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</si>
</sst>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"/>
    <numFmt numFmtId="165" formatCode="&quot;S/.&quot;#,##0.00"/>
    <numFmt numFmtId="166" formatCode="0.0%"/>
  </numFmts>
  <fonts count="24">
    <font>
      <sz val="12"/>
      <color theme="1"/>
      <name val="ArialUnicodeMS"/>
      <family val="2"/>
    </font>
    <font>
      <sz val="8"/>
      <color theme="1"/>
      <name val="ArialUnicodeMS"/>
      <family val="2"/>
    </font>
    <font>
      <sz val="7"/>
      <color theme="1"/>
      <name val="ArialUnicodeMS"/>
      <family val="2"/>
    </font>
    <font>
      <b/>
      <sz val="8"/>
      <color theme="1"/>
      <name val="ArialUnicodeMS"/>
    </font>
    <font>
      <sz val="10"/>
      <color theme="1"/>
      <name val="ArialUnicodeMS"/>
      <family val="2"/>
    </font>
    <font>
      <b/>
      <sz val="10"/>
      <color theme="1"/>
      <name val="ArialUnicodeMS"/>
    </font>
    <font>
      <u/>
      <sz val="12"/>
      <color theme="10"/>
      <name val="ArialUnicodeMS"/>
      <family val="2"/>
    </font>
    <font>
      <u/>
      <sz val="10"/>
      <color theme="10"/>
      <name val="ArialUnicodeMS"/>
      <family val="2"/>
    </font>
    <font>
      <b/>
      <sz val="12"/>
      <color theme="1"/>
      <name val="ArialUnicodeMS"/>
      <family val="2"/>
    </font>
    <font>
      <b/>
      <sz val="13"/>
      <color theme="1"/>
      <name val="ArialUnicodeMS"/>
    </font>
    <font>
      <u/>
      <sz val="12"/>
      <color theme="11"/>
      <name val="ArialUnicodeMS"/>
      <family val="2"/>
    </font>
    <font>
      <b/>
      <sz val="13"/>
      <color rgb="FF000000"/>
      <name val="ArialUnicodeMS"/>
    </font>
    <font>
      <sz val="14"/>
      <color theme="1"/>
      <name val="ArialUnicodeMS"/>
      <family val="2"/>
    </font>
    <font>
      <sz val="13"/>
      <color theme="1"/>
      <name val="ArialUnicodeMS"/>
      <family val="2"/>
    </font>
    <font>
      <sz val="16"/>
      <color theme="1"/>
      <name val="ArialUnicodeMS"/>
      <family val="2"/>
    </font>
    <font>
      <b/>
      <u/>
      <sz val="10"/>
      <color theme="10"/>
      <name val="ArialUnicodeMS"/>
    </font>
    <font>
      <b/>
      <sz val="12"/>
      <color theme="1"/>
      <name val="ArialUnicodeMS"/>
    </font>
    <font>
      <sz val="8"/>
      <name val="ArialUnicodeMS"/>
      <family val="2"/>
    </font>
    <font>
      <sz val="12"/>
      <color rgb="FFFF0000"/>
      <name val="ArialUnicodeMS"/>
      <family val="2"/>
    </font>
    <font>
      <b/>
      <sz val="14"/>
      <color rgb="FFFF0000"/>
      <name val="ArialUnicodeMS"/>
      <family val="2"/>
    </font>
    <font>
      <sz val="12"/>
      <color rgb="FF0432FF"/>
      <name val="ArialUnicodeMS"/>
      <family val="2"/>
    </font>
    <font>
      <sz val="8"/>
      <color rgb="FF222222"/>
      <name val="Arial Unicode MS"/>
      <family val="2"/>
    </font>
    <font>
      <sz val="8"/>
      <color theme="1"/>
      <name val="Arial Unicode MS"/>
      <family val="2"/>
    </font>
    <font>
      <sz val="8"/>
      <color theme="1"/>
      <name val="ArialUnicodeMS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96">
    <xf numFmtId="0" fontId="0" fillId="0" borderId="0" xfId="0"/>
    <xf numFmtId="0" fontId="3" fillId="2" borderId="1" xfId="0" applyFont="1" applyFill="1" applyBorder="1" applyAlignment="1">
      <alignment horizontal="right"/>
    </xf>
    <xf numFmtId="0" fontId="3" fillId="2" borderId="4" xfId="0" applyFont="1" applyFill="1" applyBorder="1" applyAlignment="1">
      <alignment horizontal="right"/>
    </xf>
    <xf numFmtId="0" fontId="3" fillId="2" borderId="6" xfId="0" applyFont="1" applyFill="1" applyBorder="1" applyAlignment="1">
      <alignment horizontal="right"/>
    </xf>
    <xf numFmtId="0" fontId="4" fillId="0" borderId="0" xfId="0" applyFont="1"/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2" borderId="9" xfId="0" applyFont="1" applyFill="1" applyBorder="1" applyAlignment="1">
      <alignment horizontal="center" vertical="center"/>
    </xf>
    <xf numFmtId="0" fontId="4" fillId="0" borderId="9" xfId="0" applyFont="1" applyBorder="1"/>
    <xf numFmtId="164" fontId="4" fillId="0" borderId="9" xfId="0" applyNumberFormat="1" applyFont="1" applyBorder="1" applyAlignment="1">
      <alignment vertical="center"/>
    </xf>
    <xf numFmtId="164" fontId="5" fillId="0" borderId="9" xfId="0" applyNumberFormat="1" applyFont="1" applyBorder="1" applyAlignment="1">
      <alignment vertical="center"/>
    </xf>
    <xf numFmtId="9" fontId="4" fillId="0" borderId="9" xfId="0" applyNumberFormat="1" applyFont="1" applyBorder="1"/>
    <xf numFmtId="164" fontId="8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8" fillId="0" borderId="0" xfId="0" applyFont="1"/>
    <xf numFmtId="164" fontId="8" fillId="2" borderId="12" xfId="0" applyNumberFormat="1" applyFont="1" applyFill="1" applyBorder="1" applyAlignment="1">
      <alignment vertical="center"/>
    </xf>
    <xf numFmtId="165" fontId="8" fillId="2" borderId="12" xfId="0" applyNumberFormat="1" applyFont="1" applyFill="1" applyBorder="1" applyAlignment="1">
      <alignment vertical="center"/>
    </xf>
    <xf numFmtId="164" fontId="4" fillId="0" borderId="11" xfId="0" applyNumberFormat="1" applyFont="1" applyBorder="1" applyAlignment="1">
      <alignment vertical="center"/>
    </xf>
    <xf numFmtId="165" fontId="4" fillId="0" borderId="11" xfId="0" applyNumberFormat="1" applyFont="1" applyBorder="1" applyAlignment="1">
      <alignment vertical="center"/>
    </xf>
    <xf numFmtId="0" fontId="0" fillId="0" borderId="11" xfId="0" applyBorder="1" applyAlignment="1">
      <alignment vertical="center"/>
    </xf>
    <xf numFmtId="165" fontId="4" fillId="0" borderId="9" xfId="0" applyNumberFormat="1" applyFont="1" applyBorder="1" applyAlignment="1">
      <alignment vertical="center"/>
    </xf>
    <xf numFmtId="165" fontId="5" fillId="0" borderId="9" xfId="0" applyNumberFormat="1" applyFont="1" applyBorder="1" applyAlignment="1">
      <alignment vertical="center"/>
    </xf>
    <xf numFmtId="165" fontId="4" fillId="2" borderId="0" xfId="0" applyNumberFormat="1" applyFont="1" applyFill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165" fontId="4" fillId="0" borderId="9" xfId="0" applyNumberFormat="1" applyFont="1" applyBorder="1" applyAlignment="1">
      <alignment horizontal="center" vertical="center"/>
    </xf>
    <xf numFmtId="0" fontId="9" fillId="0" borderId="13" xfId="0" applyFont="1" applyBorder="1" applyAlignment="1">
      <alignment horizontal="right"/>
    </xf>
    <xf numFmtId="0" fontId="9" fillId="0" borderId="16" xfId="0" applyFont="1" applyBorder="1" applyAlignment="1">
      <alignment horizontal="right"/>
    </xf>
    <xf numFmtId="0" fontId="4" fillId="0" borderId="0" xfId="0" applyFont="1" applyAlignment="1">
      <alignment horizontal="left"/>
    </xf>
    <xf numFmtId="4" fontId="0" fillId="0" borderId="0" xfId="0" applyNumberFormat="1"/>
    <xf numFmtId="0" fontId="7" fillId="0" borderId="0" xfId="1" applyFont="1" applyFill="1" applyBorder="1" applyAlignment="1">
      <alignment horizontal="left"/>
    </xf>
    <xf numFmtId="4" fontId="9" fillId="0" borderId="23" xfId="0" applyNumberFormat="1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4" fontId="0" fillId="0" borderId="9" xfId="0" applyNumberFormat="1" applyBorder="1"/>
    <xf numFmtId="0" fontId="0" fillId="0" borderId="9" xfId="0" applyBorder="1"/>
    <xf numFmtId="0" fontId="0" fillId="0" borderId="26" xfId="0" applyBorder="1"/>
    <xf numFmtId="4" fontId="0" fillId="0" borderId="17" xfId="0" applyNumberFormat="1" applyBorder="1"/>
    <xf numFmtId="0" fontId="0" fillId="0" borderId="17" xfId="0" applyBorder="1"/>
    <xf numFmtId="0" fontId="0" fillId="0" borderId="27" xfId="0" applyBorder="1"/>
    <xf numFmtId="0" fontId="0" fillId="0" borderId="10" xfId="0" applyBorder="1"/>
    <xf numFmtId="0" fontId="0" fillId="0" borderId="12" xfId="0" applyBorder="1"/>
    <xf numFmtId="0" fontId="12" fillId="0" borderId="0" xfId="0" applyFont="1" applyAlignment="1">
      <alignment horizontal="center"/>
    </xf>
    <xf numFmtId="164" fontId="0" fillId="0" borderId="9" xfId="0" applyNumberFormat="1" applyBorder="1"/>
    <xf numFmtId="165" fontId="0" fillId="0" borderId="9" xfId="0" applyNumberFormat="1" applyBorder="1"/>
    <xf numFmtId="164" fontId="0" fillId="0" borderId="18" xfId="0" applyNumberFormat="1" applyBorder="1"/>
    <xf numFmtId="0" fontId="9" fillId="0" borderId="19" xfId="0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164" fontId="14" fillId="0" borderId="0" xfId="0" applyNumberFormat="1" applyFont="1"/>
    <xf numFmtId="165" fontId="14" fillId="0" borderId="0" xfId="0" applyNumberFormat="1" applyFont="1"/>
    <xf numFmtId="164" fontId="13" fillId="0" borderId="0" xfId="0" applyNumberFormat="1" applyFont="1"/>
    <xf numFmtId="165" fontId="13" fillId="0" borderId="0" xfId="0" applyNumberFormat="1" applyFont="1"/>
    <xf numFmtId="164" fontId="13" fillId="0" borderId="12" xfId="0" applyNumberFormat="1" applyFont="1" applyBorder="1"/>
    <xf numFmtId="165" fontId="13" fillId="0" borderId="12" xfId="0" applyNumberFormat="1" applyFont="1" applyBorder="1"/>
    <xf numFmtId="164" fontId="14" fillId="0" borderId="18" xfId="0" applyNumberFormat="1" applyFont="1" applyBorder="1"/>
    <xf numFmtId="0" fontId="3" fillId="0" borderId="4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164" fontId="8" fillId="0" borderId="30" xfId="0" applyNumberFormat="1" applyFont="1" applyBorder="1" applyAlignment="1">
      <alignment horizontal="right" vertical="center"/>
    </xf>
    <xf numFmtId="164" fontId="8" fillId="0" borderId="39" xfId="0" applyNumberFormat="1" applyFont="1" applyBorder="1" applyAlignment="1">
      <alignment horizontal="right" vertical="center"/>
    </xf>
    <xf numFmtId="164" fontId="8" fillId="0" borderId="33" xfId="0" applyNumberFormat="1" applyFont="1" applyBorder="1" applyAlignment="1">
      <alignment horizontal="right" vertical="center"/>
    </xf>
    <xf numFmtId="4" fontId="0" fillId="2" borderId="9" xfId="0" applyNumberFormat="1" applyFill="1" applyBorder="1"/>
    <xf numFmtId="0" fontId="0" fillId="2" borderId="9" xfId="0" applyFill="1" applyBorder="1"/>
    <xf numFmtId="164" fontId="0" fillId="2" borderId="9" xfId="0" applyNumberFormat="1" applyFill="1" applyBorder="1"/>
    <xf numFmtId="165" fontId="0" fillId="2" borderId="9" xfId="0" applyNumberFormat="1" applyFill="1" applyBorder="1"/>
    <xf numFmtId="0" fontId="0" fillId="2" borderId="28" xfId="0" applyFill="1" applyBorder="1"/>
    <xf numFmtId="4" fontId="0" fillId="2" borderId="14" xfId="0" applyNumberFormat="1" applyFill="1" applyBorder="1"/>
    <xf numFmtId="0" fontId="0" fillId="2" borderId="14" xfId="0" applyFill="1" applyBorder="1"/>
    <xf numFmtId="164" fontId="0" fillId="2" borderId="14" xfId="0" applyNumberFormat="1" applyFill="1" applyBorder="1"/>
    <xf numFmtId="165" fontId="0" fillId="2" borderId="14" xfId="0" applyNumberFormat="1" applyFill="1" applyBorder="1"/>
    <xf numFmtId="0" fontId="0" fillId="2" borderId="15" xfId="0" applyFill="1" applyBorder="1"/>
    <xf numFmtId="0" fontId="5" fillId="2" borderId="10" xfId="0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165" fontId="8" fillId="0" borderId="0" xfId="0" applyNumberFormat="1" applyFont="1" applyAlignment="1">
      <alignment vertical="center"/>
    </xf>
    <xf numFmtId="165" fontId="8" fillId="0" borderId="3" xfId="0" applyNumberFormat="1" applyFont="1" applyBorder="1" applyAlignment="1">
      <alignment horizontal="right" vertical="center"/>
    </xf>
    <xf numFmtId="165" fontId="8" fillId="0" borderId="5" xfId="0" applyNumberFormat="1" applyFont="1" applyBorder="1" applyAlignment="1">
      <alignment horizontal="right" vertical="center"/>
    </xf>
    <xf numFmtId="165" fontId="8" fillId="0" borderId="8" xfId="0" applyNumberFormat="1" applyFont="1" applyBorder="1" applyAlignment="1">
      <alignment horizontal="right" vertical="center"/>
    </xf>
    <xf numFmtId="4" fontId="20" fillId="0" borderId="9" xfId="0" applyNumberFormat="1" applyFont="1" applyBorder="1"/>
    <xf numFmtId="0" fontId="20" fillId="0" borderId="9" xfId="0" applyFont="1" applyBorder="1"/>
    <xf numFmtId="164" fontId="20" fillId="0" borderId="9" xfId="0" applyNumberFormat="1" applyFont="1" applyBorder="1"/>
    <xf numFmtId="0" fontId="20" fillId="0" borderId="26" xfId="0" applyFont="1" applyBorder="1"/>
    <xf numFmtId="0" fontId="4" fillId="0" borderId="9" xfId="0" applyFont="1" applyBorder="1" applyAlignment="1">
      <alignment horizontal="left" vertical="center"/>
    </xf>
    <xf numFmtId="0" fontId="4" fillId="0" borderId="42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0" fillId="0" borderId="25" xfId="0" applyBorder="1"/>
    <xf numFmtId="165" fontId="0" fillId="0" borderId="9" xfId="0" applyNumberFormat="1" applyBorder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1" fillId="0" borderId="0" xfId="0" applyFont="1"/>
    <xf numFmtId="0" fontId="22" fillId="0" borderId="0" xfId="0" applyFont="1" applyAlignment="1">
      <alignment vertical="center"/>
    </xf>
    <xf numFmtId="0" fontId="12" fillId="0" borderId="0" xfId="0" applyFont="1" applyAlignment="1">
      <alignment horizontal="right"/>
    </xf>
    <xf numFmtId="2" fontId="0" fillId="0" borderId="11" xfId="0" applyNumberFormat="1" applyBorder="1" applyAlignment="1">
      <alignment vertical="center"/>
    </xf>
    <xf numFmtId="0" fontId="5" fillId="0" borderId="42" xfId="0" applyFont="1" applyBorder="1" applyAlignment="1">
      <alignment horizontal="left" vertical="center"/>
    </xf>
    <xf numFmtId="2" fontId="4" fillId="0" borderId="11" xfId="0" applyNumberFormat="1" applyFont="1" applyBorder="1" applyAlignment="1">
      <alignment vertical="center"/>
    </xf>
    <xf numFmtId="0" fontId="23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166" fontId="3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4" fontId="3" fillId="2" borderId="7" xfId="0" applyNumberFormat="1" applyFont="1" applyFill="1" applyBorder="1" applyAlignment="1">
      <alignment horizontal="left"/>
    </xf>
    <xf numFmtId="0" fontId="3" fillId="2" borderId="0" xfId="0" applyFont="1" applyFill="1"/>
    <xf numFmtId="0" fontId="5" fillId="2" borderId="0" xfId="0" applyFont="1" applyFill="1" applyAlignment="1">
      <alignment horizontal="left" vertical="center"/>
    </xf>
    <xf numFmtId="0" fontId="5" fillId="2" borderId="40" xfId="0" applyFont="1" applyFill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40" xfId="0" applyFont="1" applyBorder="1" applyAlignment="1">
      <alignment vertical="center"/>
    </xf>
    <xf numFmtId="0" fontId="1" fillId="0" borderId="40" xfId="0" applyFont="1" applyBorder="1" applyAlignment="1">
      <alignment vertical="center"/>
    </xf>
    <xf numFmtId="0" fontId="4" fillId="2" borderId="0" xfId="0" applyFont="1" applyFill="1" applyAlignment="1">
      <alignment horizontal="left" vertical="center"/>
    </xf>
    <xf numFmtId="0" fontId="3" fillId="2" borderId="2" xfId="0" applyFont="1" applyFill="1" applyBorder="1"/>
    <xf numFmtId="0" fontId="0" fillId="0" borderId="0" xfId="0"/>
    <xf numFmtId="0" fontId="4" fillId="0" borderId="42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16" fillId="2" borderId="43" xfId="0" applyFont="1" applyFill="1" applyBorder="1" applyAlignment="1">
      <alignment horizontal="left" vertical="center"/>
    </xf>
    <xf numFmtId="0" fontId="5" fillId="0" borderId="42" xfId="0" applyFont="1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5" xfId="0" applyFont="1" applyFill="1" applyBorder="1" applyAlignment="1">
      <alignment horizontal="left"/>
    </xf>
    <xf numFmtId="0" fontId="3" fillId="2" borderId="7" xfId="0" applyFont="1" applyFill="1" applyBorder="1" applyAlignment="1">
      <alignment horizontal="left"/>
    </xf>
    <xf numFmtId="0" fontId="3" fillId="2" borderId="8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right"/>
    </xf>
    <xf numFmtId="0" fontId="3" fillId="2" borderId="0" xfId="0" applyFont="1" applyFill="1" applyAlignment="1">
      <alignment horizontal="right"/>
    </xf>
    <xf numFmtId="0" fontId="3" fillId="2" borderId="7" xfId="0" applyFont="1" applyFill="1" applyBorder="1" applyAlignment="1">
      <alignment horizontal="right"/>
    </xf>
    <xf numFmtId="0" fontId="23" fillId="0" borderId="0" xfId="0" applyFont="1" applyAlignment="1">
      <alignment vertical="center"/>
    </xf>
    <xf numFmtId="0" fontId="5" fillId="2" borderId="0" xfId="0" applyFont="1" applyFill="1" applyAlignment="1">
      <alignment horizontal="right" vertical="center"/>
    </xf>
    <xf numFmtId="0" fontId="5" fillId="0" borderId="4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5" fillId="0" borderId="6" xfId="0" applyFont="1" applyBorder="1" applyAlignment="1">
      <alignment horizontal="right"/>
    </xf>
    <xf numFmtId="0" fontId="5" fillId="0" borderId="7" xfId="0" applyFont="1" applyBorder="1" applyAlignment="1">
      <alignment horizontal="right"/>
    </xf>
    <xf numFmtId="0" fontId="4" fillId="0" borderId="0" xfId="0" applyFont="1"/>
    <xf numFmtId="0" fontId="5" fillId="0" borderId="1" xfId="0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0" fillId="0" borderId="0" xfId="0" applyAlignment="1">
      <alignment horizontal="center"/>
    </xf>
    <xf numFmtId="0" fontId="5" fillId="0" borderId="0" xfId="0" applyFont="1" applyAlignment="1">
      <alignment horizontal="left"/>
    </xf>
    <xf numFmtId="0" fontId="15" fillId="0" borderId="0" xfId="1" applyFont="1" applyFill="1" applyBorder="1" applyAlignment="1">
      <alignment horizontal="left"/>
    </xf>
    <xf numFmtId="0" fontId="7" fillId="0" borderId="0" xfId="1" applyFont="1" applyFill="1" applyBorder="1" applyAlignment="1">
      <alignment horizontal="left"/>
    </xf>
    <xf numFmtId="0" fontId="16" fillId="2" borderId="46" xfId="0" applyFont="1" applyFill="1" applyBorder="1" applyAlignment="1">
      <alignment horizontal="left" vertical="center"/>
    </xf>
    <xf numFmtId="0" fontId="16" fillId="2" borderId="47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8" fillId="2" borderId="43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8" fillId="2" borderId="45" xfId="0" applyFont="1" applyFill="1" applyBorder="1" applyAlignment="1">
      <alignment horizontal="left" vertical="center"/>
    </xf>
    <xf numFmtId="0" fontId="0" fillId="0" borderId="40" xfId="0" applyBorder="1"/>
    <xf numFmtId="0" fontId="0" fillId="0" borderId="2" xfId="0" applyBorder="1"/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9" fillId="0" borderId="0" xfId="0" applyFont="1"/>
    <xf numFmtId="0" fontId="9" fillId="0" borderId="22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2" borderId="13" xfId="0" applyFont="1" applyFill="1" applyBorder="1" applyAlignment="1">
      <alignment horizontal="center"/>
    </xf>
    <xf numFmtId="0" fontId="9" fillId="2" borderId="14" xfId="0" applyFont="1" applyFill="1" applyBorder="1" applyAlignment="1">
      <alignment horizontal="center"/>
    </xf>
    <xf numFmtId="0" fontId="9" fillId="0" borderId="34" xfId="0" applyFont="1" applyBorder="1" applyAlignment="1">
      <alignment horizontal="left"/>
    </xf>
    <xf numFmtId="0" fontId="9" fillId="0" borderId="35" xfId="0" applyFont="1" applyBorder="1" applyAlignment="1">
      <alignment horizontal="left"/>
    </xf>
    <xf numFmtId="0" fontId="9" fillId="0" borderId="36" xfId="0" applyFont="1" applyBorder="1" applyAlignment="1">
      <alignment horizontal="left"/>
    </xf>
    <xf numFmtId="0" fontId="9" fillId="0" borderId="29" xfId="0" applyFont="1" applyBorder="1" applyAlignment="1">
      <alignment horizontal="left"/>
    </xf>
    <xf numFmtId="0" fontId="9" fillId="0" borderId="37" xfId="0" applyFont="1" applyBorder="1" applyAlignment="1">
      <alignment horizontal="left"/>
    </xf>
    <xf numFmtId="0" fontId="9" fillId="0" borderId="38" xfId="0" applyFont="1" applyBorder="1" applyAlignment="1">
      <alignment horizontal="left"/>
    </xf>
    <xf numFmtId="0" fontId="0" fillId="0" borderId="25" xfId="0" applyBorder="1"/>
    <xf numFmtId="0" fontId="0" fillId="0" borderId="9" xfId="0" applyBorder="1"/>
    <xf numFmtId="0" fontId="20" fillId="0" borderId="25" xfId="0" applyFont="1" applyBorder="1"/>
    <xf numFmtId="0" fontId="20" fillId="0" borderId="9" xfId="0" applyFont="1" applyBorder="1"/>
    <xf numFmtId="0" fontId="0" fillId="0" borderId="44" xfId="0" applyBorder="1"/>
    <xf numFmtId="0" fontId="0" fillId="0" borderId="43" xfId="0" applyBorder="1"/>
    <xf numFmtId="0" fontId="0" fillId="0" borderId="41" xfId="0" applyBorder="1"/>
    <xf numFmtId="0" fontId="9" fillId="2" borderId="25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18" fillId="0" borderId="44" xfId="0" applyFont="1" applyBorder="1"/>
    <xf numFmtId="0" fontId="18" fillId="0" borderId="43" xfId="0" applyFont="1" applyBorder="1"/>
    <xf numFmtId="0" fontId="18" fillId="0" borderId="41" xfId="0" applyFont="1" applyBorder="1"/>
    <xf numFmtId="0" fontId="18" fillId="0" borderId="0" xfId="0" applyFont="1"/>
    <xf numFmtId="0" fontId="13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9" fillId="0" borderId="4" xfId="0" applyFont="1" applyBorder="1"/>
    <xf numFmtId="0" fontId="19" fillId="0" borderId="0" xfId="0" applyFont="1"/>
    <xf numFmtId="0" fontId="12" fillId="0" borderId="0" xfId="0" applyFont="1"/>
    <xf numFmtId="0" fontId="13" fillId="0" borderId="0" xfId="0" applyFont="1"/>
    <xf numFmtId="0" fontId="11" fillId="2" borderId="25" xfId="0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/>
    </xf>
    <xf numFmtId="0" fontId="12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0" fillId="0" borderId="16" xfId="0" applyBorder="1"/>
    <xf numFmtId="0" fontId="0" fillId="0" borderId="17" xfId="0" applyBorder="1"/>
    <xf numFmtId="0" fontId="9" fillId="0" borderId="20" xfId="0" applyFont="1" applyBorder="1" applyAlignment="1">
      <alignment horizontal="center"/>
    </xf>
    <xf numFmtId="0" fontId="0" fillId="0" borderId="12" xfId="0" applyBorder="1"/>
    <xf numFmtId="0" fontId="18" fillId="0" borderId="9" xfId="0" applyFont="1" applyBorder="1"/>
    <xf numFmtId="164" fontId="14" fillId="3" borderId="31" xfId="0" applyNumberFormat="1" applyFont="1" applyFill="1" applyBorder="1"/>
    <xf numFmtId="0" fontId="14" fillId="3" borderId="32" xfId="0" applyFont="1" applyFill="1" applyBorder="1"/>
    <xf numFmtId="0" fontId="0" fillId="0" borderId="10" xfId="0" applyBorder="1"/>
  </cellXfs>
  <cellStyles count="3">
    <cellStyle name="Hipervínculo" xfId="1" builtinId="8"/>
    <cellStyle name="Hipervínculo visitado" xfId="2" builtinId="9" hidden="1"/>
    <cellStyle name="Normal" xfId="0" builtinId="0"/>
  </cellStyles>
  <dxfs count="0"/>
  <tableStyles count="0" defaultTableStyle="TableStyleMedium9" defaultPivotStyle="PivotStyleMedium7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965201</xdr:colOff>
      <xdr:row>0</xdr:row>
      <xdr:rowOff>67735</xdr:rowOff>
    </xdr:from>
    <xdr:to>
      <xdr:col>4</xdr:col>
      <xdr:colOff>123958</xdr:colOff>
      <xdr:row>4</xdr:row>
      <xdr:rowOff>50801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125B9E-D438-E35B-6AF2-10472FD37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1934" y="67735"/>
          <a:ext cx="3400557" cy="694266"/>
        </a:xfrm>
        <a:prstGeom prst="rect">
          <a:avLst/>
        </a:prstGeom>
      </xdr:spPr>
    </xdr:pic>
    <xdr:clientData/>
  </xdr:twoCellAnchor>
  <xdr:twoCellAnchor editAs="oneCell">
    <xdr:from>
      <xdr:col>1</xdr:col>
      <xdr:colOff>1591734</xdr:colOff>
      <xdr:row>81</xdr:row>
      <xdr:rowOff>42334</xdr:rowOff>
    </xdr:from>
    <xdr:to>
      <xdr:col>4</xdr:col>
      <xdr:colOff>750491</xdr:colOff>
      <xdr:row>85</xdr:row>
      <xdr:rowOff>25400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0DFF75C-FB9C-8B45-A031-D59866578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8467" y="14444134"/>
          <a:ext cx="3400557" cy="6942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8467</xdr:rowOff>
    </xdr:from>
    <xdr:to>
      <xdr:col>1</xdr:col>
      <xdr:colOff>1075267</xdr:colOff>
      <xdr:row>73</xdr:row>
      <xdr:rowOff>154654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92140A2-65FF-5511-FFDD-1DF81D076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454467"/>
          <a:ext cx="2032000" cy="6795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49"/>
  <sheetViews>
    <sheetView topLeftCell="A63" zoomScale="150" zoomScaleNormal="150" zoomScalePageLayoutView="150" workbookViewId="0">
      <selection activeCell="A72" sqref="A72:E72"/>
    </sheetView>
  </sheetViews>
  <sheetFormatPr baseColWidth="10" defaultRowHeight="18"/>
  <cols>
    <col min="2" max="2" width="36.28515625" customWidth="1"/>
    <col min="3" max="4" width="5.7109375" customWidth="1"/>
    <col min="5" max="5" width="9.28515625" customWidth="1"/>
    <col min="6" max="7" width="12.28515625" customWidth="1"/>
  </cols>
  <sheetData>
    <row r="1" spans="1:7" ht="14" customHeight="1">
      <c r="A1" s="151" t="s">
        <v>276</v>
      </c>
      <c r="B1" s="151"/>
      <c r="C1" s="151"/>
      <c r="D1" s="151"/>
      <c r="E1" s="151"/>
      <c r="F1" s="151"/>
      <c r="G1" s="151"/>
    </row>
    <row r="2" spans="1:7" ht="14" customHeight="1">
      <c r="A2" s="151"/>
      <c r="B2" s="151"/>
      <c r="C2" s="151"/>
      <c r="D2" s="151"/>
      <c r="E2" s="151"/>
      <c r="F2" s="151"/>
      <c r="G2" s="151"/>
    </row>
    <row r="3" spans="1:7" ht="14" customHeight="1">
      <c r="A3" s="151"/>
      <c r="B3" s="151"/>
      <c r="C3" s="151"/>
      <c r="D3" s="151"/>
      <c r="E3" s="151"/>
      <c r="F3" s="151"/>
      <c r="G3" s="151"/>
    </row>
    <row r="4" spans="1:7" ht="14" customHeight="1">
      <c r="A4" s="151"/>
      <c r="B4" s="151"/>
      <c r="C4" s="151"/>
      <c r="D4" s="151"/>
      <c r="E4" s="151"/>
      <c r="F4" s="151"/>
      <c r="G4" s="151"/>
    </row>
    <row r="5" spans="1:7" ht="14" customHeight="1">
      <c r="A5" s="151"/>
      <c r="B5" s="151"/>
      <c r="C5" s="151"/>
      <c r="D5" s="151"/>
      <c r="E5" s="151"/>
      <c r="F5" s="151"/>
      <c r="G5" s="151"/>
    </row>
    <row r="6" spans="1:7" ht="14" customHeight="1">
      <c r="A6" s="151"/>
      <c r="B6" s="151"/>
      <c r="C6" s="151"/>
      <c r="D6" s="151"/>
      <c r="E6" s="151"/>
      <c r="F6" s="151"/>
      <c r="G6" s="151"/>
    </row>
    <row r="7" spans="1:7" ht="14" customHeight="1">
      <c r="A7" s="151"/>
      <c r="B7" s="151"/>
      <c r="C7" s="151"/>
      <c r="D7" s="151"/>
      <c r="E7" s="151"/>
      <c r="F7" s="151"/>
      <c r="G7" s="151"/>
    </row>
    <row r="8" spans="1:7" ht="14" customHeight="1">
      <c r="A8" s="151"/>
      <c r="B8" s="151"/>
      <c r="C8" s="151"/>
      <c r="D8" s="151"/>
      <c r="E8" s="151"/>
      <c r="F8" s="151"/>
      <c r="G8" s="151"/>
    </row>
    <row r="9" spans="1:7" ht="14" customHeight="1">
      <c r="A9" s="151"/>
      <c r="B9" s="151"/>
      <c r="C9" s="151"/>
      <c r="D9" s="151"/>
      <c r="E9" s="151"/>
      <c r="F9" s="151"/>
      <c r="G9" s="151"/>
    </row>
    <row r="10" spans="1:7" ht="14" customHeight="1" thickBot="1">
      <c r="A10" s="152"/>
      <c r="B10" s="152"/>
      <c r="C10" s="152"/>
      <c r="D10" s="152"/>
      <c r="E10" s="152"/>
      <c r="F10" s="152"/>
      <c r="G10" s="152"/>
    </row>
    <row r="11" spans="1:7" ht="14" customHeight="1">
      <c r="A11" s="1" t="s">
        <v>0</v>
      </c>
      <c r="B11" s="108"/>
      <c r="C11" s="108"/>
      <c r="D11" s="121" t="s">
        <v>4</v>
      </c>
      <c r="E11" s="121"/>
      <c r="F11" s="115"/>
      <c r="G11" s="116"/>
    </row>
    <row r="12" spans="1:7" ht="14" customHeight="1">
      <c r="A12" s="2" t="s">
        <v>1</v>
      </c>
      <c r="B12" s="101"/>
      <c r="C12" s="101"/>
      <c r="D12" s="122" t="s">
        <v>5</v>
      </c>
      <c r="E12" s="122"/>
      <c r="F12" s="117"/>
      <c r="G12" s="118"/>
    </row>
    <row r="13" spans="1:7" ht="14" customHeight="1">
      <c r="A13" s="2" t="s">
        <v>273</v>
      </c>
      <c r="B13" s="101"/>
      <c r="C13" s="101"/>
      <c r="D13" s="122" t="s">
        <v>6</v>
      </c>
      <c r="E13" s="122"/>
      <c r="F13" s="117"/>
      <c r="G13" s="118"/>
    </row>
    <row r="14" spans="1:7" ht="14" customHeight="1">
      <c r="A14" s="2" t="s">
        <v>2</v>
      </c>
      <c r="B14" s="101"/>
      <c r="C14" s="101"/>
      <c r="D14" s="122" t="s">
        <v>7</v>
      </c>
      <c r="E14" s="122"/>
      <c r="F14" s="117"/>
      <c r="G14" s="118"/>
    </row>
    <row r="15" spans="1:7" ht="14" customHeight="1">
      <c r="A15" s="2" t="s">
        <v>3</v>
      </c>
      <c r="B15" s="101"/>
      <c r="C15" s="101"/>
      <c r="D15" s="122" t="s">
        <v>277</v>
      </c>
      <c r="E15" s="122"/>
      <c r="F15" s="117"/>
      <c r="G15" s="118"/>
    </row>
    <row r="16" spans="1:7" ht="14" customHeight="1" thickBot="1">
      <c r="A16" s="3" t="s">
        <v>8</v>
      </c>
      <c r="B16" s="100"/>
      <c r="C16" s="100"/>
      <c r="D16" s="123" t="s">
        <v>11</v>
      </c>
      <c r="E16" s="123"/>
      <c r="F16" s="119"/>
      <c r="G16" s="120"/>
    </row>
    <row r="17" spans="1:7" ht="14" customHeight="1">
      <c r="A17" s="150"/>
      <c r="B17" s="150"/>
      <c r="C17" s="150"/>
      <c r="D17" s="150"/>
      <c r="E17" s="150"/>
    </row>
    <row r="18" spans="1:7" ht="14" customHeight="1"/>
    <row r="19" spans="1:7" ht="14" customHeight="1">
      <c r="A19" s="109"/>
      <c r="B19" s="109"/>
      <c r="C19" s="109"/>
      <c r="D19" s="109"/>
      <c r="E19" s="149"/>
      <c r="F19" s="72" t="s">
        <v>59</v>
      </c>
      <c r="G19" s="72" t="s">
        <v>60</v>
      </c>
    </row>
    <row r="20" spans="1:7" ht="14" customHeight="1">
      <c r="A20" s="102" t="s">
        <v>292</v>
      </c>
      <c r="B20" s="102"/>
      <c r="C20" s="102"/>
      <c r="D20" s="102"/>
      <c r="E20" s="103"/>
      <c r="F20" s="18">
        <f>F258</f>
        <v>0</v>
      </c>
      <c r="G20" s="94">
        <f>F20*$I$97</f>
        <v>0</v>
      </c>
    </row>
    <row r="21" spans="1:7" ht="14" customHeight="1">
      <c r="A21" s="104" t="s">
        <v>9</v>
      </c>
      <c r="B21" s="104"/>
      <c r="C21" s="104"/>
      <c r="D21" s="104"/>
      <c r="E21" s="105"/>
      <c r="F21" s="20"/>
      <c r="G21" s="19"/>
    </row>
    <row r="22" spans="1:7" ht="14" customHeight="1">
      <c r="A22" s="98" t="s">
        <v>284</v>
      </c>
      <c r="B22" s="98"/>
      <c r="C22" s="98"/>
      <c r="D22" s="98"/>
      <c r="E22" s="106"/>
      <c r="F22" s="20"/>
      <c r="G22" s="19"/>
    </row>
    <row r="23" spans="1:7" ht="14" customHeight="1">
      <c r="A23" s="98" t="s">
        <v>285</v>
      </c>
      <c r="B23" s="98"/>
      <c r="C23" s="98"/>
      <c r="D23" s="98"/>
      <c r="E23" s="106"/>
      <c r="F23" s="20"/>
      <c r="G23" s="19"/>
    </row>
    <row r="24" spans="1:7" ht="14" customHeight="1">
      <c r="A24" s="98" t="s">
        <v>286</v>
      </c>
      <c r="B24" s="98"/>
      <c r="C24" s="98"/>
      <c r="D24" s="98"/>
      <c r="E24" s="106"/>
      <c r="F24" s="20"/>
      <c r="G24" s="19"/>
    </row>
    <row r="25" spans="1:7" ht="14" customHeight="1">
      <c r="A25" s="98" t="s">
        <v>301</v>
      </c>
      <c r="B25" s="98"/>
      <c r="C25" s="98"/>
      <c r="D25" s="98"/>
      <c r="E25" s="106"/>
      <c r="F25" s="20"/>
      <c r="G25" s="19"/>
    </row>
    <row r="26" spans="1:7" ht="14" customHeight="1">
      <c r="A26" s="98"/>
      <c r="B26" s="98"/>
      <c r="C26" s="98"/>
      <c r="D26" s="98"/>
      <c r="E26" s="106"/>
      <c r="F26" s="20"/>
      <c r="G26" s="19"/>
    </row>
    <row r="27" spans="1:7" ht="14" customHeight="1">
      <c r="A27" s="98"/>
      <c r="B27" s="98"/>
      <c r="C27" s="98"/>
      <c r="D27" s="98"/>
      <c r="E27" s="106"/>
      <c r="F27" s="20"/>
      <c r="G27" s="19"/>
    </row>
    <row r="28" spans="1:7" ht="14" customHeight="1">
      <c r="A28" s="102" t="s">
        <v>10</v>
      </c>
      <c r="B28" s="102"/>
      <c r="C28" s="102"/>
      <c r="D28" s="102"/>
      <c r="E28" s="102"/>
      <c r="F28" s="18">
        <f>'Pto. Realización'!I136</f>
        <v>0</v>
      </c>
      <c r="G28" s="19">
        <f>F28*I97</f>
        <v>0</v>
      </c>
    </row>
    <row r="29" spans="1:7" ht="14" customHeight="1">
      <c r="A29" s="104" t="s">
        <v>9</v>
      </c>
      <c r="B29" s="104"/>
      <c r="C29" s="104"/>
      <c r="D29" s="104"/>
      <c r="E29" s="104"/>
      <c r="F29" s="20"/>
      <c r="G29" s="19"/>
    </row>
    <row r="30" spans="1:7" ht="14" customHeight="1">
      <c r="A30" s="98" t="s">
        <v>270</v>
      </c>
      <c r="B30" s="98"/>
      <c r="C30" s="98"/>
      <c r="D30" s="98"/>
      <c r="E30" s="98"/>
      <c r="F30" s="20"/>
      <c r="G30" s="19"/>
    </row>
    <row r="31" spans="1:7" ht="14" customHeight="1">
      <c r="A31" s="98" t="s">
        <v>271</v>
      </c>
      <c r="B31" s="98"/>
      <c r="C31" s="98"/>
      <c r="D31" s="98"/>
      <c r="E31" s="98"/>
      <c r="F31" s="20"/>
      <c r="G31" s="19"/>
    </row>
    <row r="32" spans="1:7" ht="14" customHeight="1">
      <c r="A32" s="98" t="s">
        <v>272</v>
      </c>
      <c r="B32" s="98"/>
      <c r="C32" s="98"/>
      <c r="D32" s="98"/>
      <c r="E32" s="98"/>
      <c r="F32" s="20"/>
      <c r="G32" s="19"/>
    </row>
    <row r="33" spans="1:7" ht="14" customHeight="1">
      <c r="A33" s="124"/>
      <c r="B33" s="124"/>
      <c r="C33" s="124"/>
      <c r="D33" s="124"/>
      <c r="E33" s="124"/>
      <c r="F33" s="20"/>
      <c r="G33" s="19"/>
    </row>
    <row r="34" spans="1:7" ht="14" customHeight="1">
      <c r="A34" s="95" t="s">
        <v>302</v>
      </c>
      <c r="B34" s="88"/>
      <c r="C34" s="97">
        <v>1.6E-2</v>
      </c>
      <c r="D34" s="88"/>
      <c r="E34" s="88"/>
      <c r="F34" s="92">
        <f>(F20+F28)*C34</f>
        <v>0</v>
      </c>
      <c r="G34" s="92">
        <f>F34*$I$97</f>
        <v>0</v>
      </c>
    </row>
    <row r="35" spans="1:7" ht="14" customHeight="1">
      <c r="A35" s="95"/>
      <c r="B35" s="88"/>
      <c r="C35" s="88"/>
      <c r="D35" s="88"/>
      <c r="E35" s="88"/>
      <c r="F35" s="20"/>
      <c r="G35" s="19"/>
    </row>
    <row r="36" spans="1:7" ht="14" customHeight="1">
      <c r="A36" s="98"/>
      <c r="B36" s="98"/>
      <c r="C36" s="98"/>
      <c r="D36" s="98"/>
      <c r="E36" s="98"/>
      <c r="F36" s="20"/>
      <c r="G36" s="19"/>
    </row>
    <row r="37" spans="1:7" ht="14" customHeight="1">
      <c r="A37" s="96"/>
      <c r="B37" s="87"/>
      <c r="C37" s="87"/>
      <c r="D37" s="87"/>
      <c r="E37" s="87"/>
      <c r="F37" s="20"/>
      <c r="G37" s="19"/>
    </row>
    <row r="38" spans="1:7" ht="14" customHeight="1">
      <c r="A38" s="87"/>
      <c r="B38" s="87"/>
      <c r="C38" s="87"/>
      <c r="D38" s="87"/>
      <c r="E38" s="87"/>
      <c r="F38" s="20"/>
      <c r="G38" s="19"/>
    </row>
    <row r="39" spans="1:7" ht="14" customHeight="1">
      <c r="A39" s="98"/>
      <c r="B39" s="98"/>
      <c r="C39" s="98"/>
      <c r="D39" s="98"/>
      <c r="E39" s="98"/>
      <c r="F39" s="20"/>
      <c r="G39" s="19"/>
    </row>
    <row r="40" spans="1:7" ht="14" customHeight="1">
      <c r="A40" s="98"/>
      <c r="B40" s="98"/>
      <c r="C40" s="125" t="s">
        <v>61</v>
      </c>
      <c r="D40" s="125"/>
      <c r="E40" s="125"/>
      <c r="F40" s="16">
        <f>SUM(F20:F39)</f>
        <v>0</v>
      </c>
      <c r="G40" s="17">
        <f>F40*I97</f>
        <v>0</v>
      </c>
    </row>
    <row r="41" spans="1:7" ht="14" customHeight="1">
      <c r="A41" s="98"/>
      <c r="B41" s="98"/>
      <c r="C41" s="98"/>
      <c r="D41" s="98"/>
      <c r="E41" s="98"/>
    </row>
    <row r="42" spans="1:7" ht="14" customHeight="1">
      <c r="A42" s="98"/>
      <c r="B42" s="98"/>
      <c r="C42" s="98"/>
      <c r="D42" s="98"/>
      <c r="E42" s="98"/>
    </row>
    <row r="43" spans="1:7" ht="14" customHeight="1">
      <c r="A43" s="98"/>
      <c r="B43" s="98"/>
      <c r="C43" s="98"/>
      <c r="D43" s="98"/>
      <c r="E43" s="98"/>
    </row>
    <row r="44" spans="1:7" ht="14" customHeight="1">
      <c r="A44" s="107" t="s">
        <v>12</v>
      </c>
      <c r="B44" s="107"/>
      <c r="C44" s="107"/>
      <c r="D44" s="107"/>
      <c r="E44" s="107"/>
    </row>
    <row r="45" spans="1:7" ht="14" customHeight="1">
      <c r="A45" s="98" t="s">
        <v>159</v>
      </c>
      <c r="B45" s="98"/>
      <c r="C45" s="98"/>
      <c r="D45" s="98"/>
      <c r="E45" s="98"/>
    </row>
    <row r="46" spans="1:7" ht="14" customHeight="1">
      <c r="A46" s="98" t="s">
        <v>13</v>
      </c>
      <c r="B46" s="98"/>
      <c r="C46" s="98"/>
      <c r="D46" s="98"/>
      <c r="E46" s="98"/>
    </row>
    <row r="47" spans="1:7" ht="14" customHeight="1">
      <c r="A47" s="98" t="s">
        <v>288</v>
      </c>
      <c r="B47" s="98"/>
      <c r="C47" s="98"/>
      <c r="D47" s="98"/>
      <c r="E47" s="98"/>
    </row>
    <row r="48" spans="1:7" ht="14" customHeight="1">
      <c r="A48" s="98" t="s">
        <v>291</v>
      </c>
      <c r="B48" s="98"/>
      <c r="C48" s="98"/>
      <c r="D48" s="98"/>
      <c r="E48" s="98"/>
    </row>
    <row r="49" spans="1:5" ht="14" customHeight="1">
      <c r="A49" s="89" t="s">
        <v>289</v>
      </c>
      <c r="B49" s="87"/>
      <c r="C49" s="87"/>
      <c r="D49" s="87"/>
      <c r="E49" s="87"/>
    </row>
    <row r="50" spans="1:5" ht="14" customHeight="1">
      <c r="A50" s="89" t="s">
        <v>252</v>
      </c>
      <c r="B50" s="90"/>
      <c r="C50" s="90"/>
      <c r="D50" s="90"/>
      <c r="E50" s="90"/>
    </row>
    <row r="51" spans="1:5" ht="14" customHeight="1">
      <c r="A51" s="89" t="s">
        <v>290</v>
      </c>
      <c r="B51" s="90"/>
      <c r="C51" s="90"/>
      <c r="D51" s="90"/>
      <c r="E51" s="90"/>
    </row>
    <row r="52" spans="1:5" ht="14" customHeight="1">
      <c r="A52" s="89" t="s">
        <v>287</v>
      </c>
      <c r="B52" s="90"/>
      <c r="C52" s="90"/>
      <c r="D52" s="90"/>
      <c r="E52" s="90"/>
    </row>
    <row r="53" spans="1:5" ht="14" customHeight="1">
      <c r="A53" s="89" t="s">
        <v>267</v>
      </c>
      <c r="B53" s="90"/>
      <c r="C53" s="90"/>
      <c r="D53" s="90"/>
      <c r="E53" s="90"/>
    </row>
    <row r="54" spans="1:5" ht="14" customHeight="1">
      <c r="A54" s="89" t="s">
        <v>253</v>
      </c>
      <c r="B54" s="90"/>
      <c r="C54" s="90"/>
      <c r="D54" s="90"/>
      <c r="E54" s="90"/>
    </row>
    <row r="55" spans="1:5" ht="14" customHeight="1">
      <c r="A55" s="89" t="s">
        <v>254</v>
      </c>
      <c r="B55" s="90"/>
      <c r="C55" s="90"/>
      <c r="D55" s="90"/>
      <c r="E55" s="90"/>
    </row>
    <row r="56" spans="1:5" ht="14" customHeight="1">
      <c r="A56" s="99" t="s">
        <v>160</v>
      </c>
      <c r="B56" s="99"/>
      <c r="C56" s="99"/>
      <c r="D56" s="99"/>
      <c r="E56" s="99"/>
    </row>
    <row r="57" spans="1:5" ht="14" customHeight="1">
      <c r="A57" s="99" t="s">
        <v>293</v>
      </c>
      <c r="B57" s="99"/>
      <c r="C57" s="99"/>
      <c r="D57" s="99"/>
      <c r="E57" s="99"/>
    </row>
    <row r="58" spans="1:5" ht="14" customHeight="1">
      <c r="A58" s="99" t="s">
        <v>161</v>
      </c>
      <c r="B58" s="99"/>
      <c r="C58" s="99"/>
      <c r="D58" s="99"/>
      <c r="E58" s="99"/>
    </row>
    <row r="59" spans="1:5" ht="14" customHeight="1">
      <c r="A59" s="99" t="s">
        <v>162</v>
      </c>
      <c r="B59" s="99"/>
      <c r="C59" s="99"/>
      <c r="D59" s="99"/>
      <c r="E59" s="99"/>
    </row>
    <row r="60" spans="1:5" ht="14" customHeight="1">
      <c r="A60" s="87"/>
      <c r="B60" s="87"/>
      <c r="C60" s="87"/>
      <c r="D60" s="87"/>
      <c r="E60" s="87"/>
    </row>
    <row r="61" spans="1:5" ht="14" customHeight="1">
      <c r="A61" s="87"/>
      <c r="B61" s="87"/>
      <c r="C61" s="87"/>
      <c r="D61" s="87"/>
      <c r="E61" s="87"/>
    </row>
    <row r="62" spans="1:5" ht="14" customHeight="1">
      <c r="A62" s="87"/>
      <c r="B62" s="87"/>
      <c r="C62" s="87"/>
      <c r="D62" s="87"/>
      <c r="E62" s="87"/>
    </row>
    <row r="63" spans="1:5" ht="14" customHeight="1">
      <c r="A63" s="99"/>
      <c r="B63" s="99"/>
      <c r="C63" s="99"/>
      <c r="D63" s="99"/>
      <c r="E63" s="99"/>
    </row>
    <row r="64" spans="1:5" ht="14" customHeight="1">
      <c r="A64" s="130"/>
      <c r="B64" s="130"/>
      <c r="C64" s="130"/>
      <c r="D64" s="130"/>
      <c r="E64" s="130"/>
    </row>
    <row r="65" spans="1:7" ht="14" customHeight="1" thickBot="1">
      <c r="A65" s="130"/>
      <c r="B65" s="130"/>
      <c r="C65" s="130"/>
      <c r="D65" s="130"/>
      <c r="E65" s="130"/>
    </row>
    <row r="66" spans="1:7" ht="14" customHeight="1">
      <c r="A66" s="131" t="s">
        <v>14</v>
      </c>
      <c r="B66" s="132"/>
      <c r="C66" s="132"/>
      <c r="D66" s="132"/>
      <c r="E66" s="132"/>
      <c r="F66" s="59">
        <f>F40*50%</f>
        <v>0</v>
      </c>
      <c r="G66" s="75">
        <f>F66*I97</f>
        <v>0</v>
      </c>
    </row>
    <row r="67" spans="1:7" ht="14" customHeight="1">
      <c r="A67" s="126" t="s">
        <v>15</v>
      </c>
      <c r="B67" s="127"/>
      <c r="C67" s="127"/>
      <c r="D67" s="127"/>
      <c r="E67" s="127"/>
      <c r="F67" s="60">
        <f>F40*30%</f>
        <v>0</v>
      </c>
      <c r="G67" s="76">
        <f>F67*I97</f>
        <v>0</v>
      </c>
    </row>
    <row r="68" spans="1:7" ht="14" customHeight="1">
      <c r="A68" s="126" t="s">
        <v>16</v>
      </c>
      <c r="B68" s="127"/>
      <c r="C68" s="127"/>
      <c r="D68" s="127"/>
      <c r="E68" s="127"/>
      <c r="F68" s="60">
        <f>F40*60%</f>
        <v>0</v>
      </c>
      <c r="G68" s="76">
        <f>F68*I97</f>
        <v>0</v>
      </c>
    </row>
    <row r="69" spans="1:7" ht="14" customHeight="1" thickBot="1">
      <c r="A69" s="128" t="s">
        <v>17</v>
      </c>
      <c r="B69" s="129"/>
      <c r="C69" s="129"/>
      <c r="D69" s="129"/>
      <c r="E69" s="129"/>
      <c r="F69" s="61">
        <f>F40*80%</f>
        <v>0</v>
      </c>
      <c r="G69" s="77">
        <f>F69*I97</f>
        <v>0</v>
      </c>
    </row>
    <row r="70" spans="1:7" ht="14" customHeight="1">
      <c r="A70" s="109"/>
      <c r="B70" s="109"/>
      <c r="C70" s="109"/>
      <c r="D70" s="109"/>
      <c r="E70" s="109"/>
    </row>
    <row r="71" spans="1:7" ht="14" customHeight="1">
      <c r="A71" s="109"/>
      <c r="B71" s="109"/>
      <c r="C71" s="109"/>
      <c r="D71" s="109"/>
      <c r="E71" s="109"/>
    </row>
    <row r="72" spans="1:7" ht="14" customHeight="1">
      <c r="A72" s="109"/>
      <c r="B72" s="109"/>
      <c r="C72" s="109"/>
      <c r="D72" s="109"/>
      <c r="E72" s="109"/>
    </row>
    <row r="73" spans="1:7" ht="14" customHeight="1">
      <c r="A73" s="109"/>
      <c r="B73" s="109"/>
      <c r="C73" s="109"/>
      <c r="D73" s="109"/>
      <c r="E73" s="109"/>
    </row>
    <row r="74" spans="1:7" ht="14" customHeight="1"/>
    <row r="75" spans="1:7" ht="14" customHeight="1">
      <c r="A75" s="134"/>
      <c r="B75" s="134"/>
      <c r="C75" s="134"/>
      <c r="D75" s="134"/>
      <c r="E75" s="134"/>
      <c r="F75" s="30"/>
    </row>
    <row r="76" spans="1:7" ht="14" customHeight="1">
      <c r="A76" s="134"/>
      <c r="B76" s="134"/>
      <c r="C76" s="134"/>
      <c r="D76" s="134"/>
      <c r="E76" s="134"/>
      <c r="F76" s="30"/>
    </row>
    <row r="77" spans="1:7" ht="14" customHeight="1">
      <c r="A77" s="134"/>
      <c r="B77" s="134"/>
      <c r="C77" s="134"/>
      <c r="D77" s="134"/>
      <c r="E77" s="134"/>
      <c r="F77" s="30"/>
    </row>
    <row r="78" spans="1:7" ht="14" customHeight="1">
      <c r="A78" s="135"/>
      <c r="B78" s="135"/>
      <c r="C78" s="135"/>
      <c r="D78" s="135"/>
      <c r="E78" s="135"/>
      <c r="F78" s="30"/>
    </row>
    <row r="79" spans="1:7" ht="14" customHeight="1">
      <c r="A79" s="136"/>
      <c r="B79" s="136"/>
      <c r="C79" s="136"/>
      <c r="D79" s="136"/>
      <c r="E79" s="136"/>
      <c r="F79" s="30"/>
    </row>
    <row r="80" spans="1:7" ht="14" customHeight="1">
      <c r="A80" s="32"/>
      <c r="B80" s="32"/>
      <c r="C80" s="32"/>
      <c r="D80" s="32"/>
      <c r="E80" s="32"/>
      <c r="F80" s="30"/>
    </row>
    <row r="81" spans="1:7" ht="14" customHeight="1">
      <c r="A81" s="133"/>
      <c r="B81" s="133"/>
      <c r="C81" s="133"/>
      <c r="D81" s="133"/>
      <c r="E81" s="133"/>
      <c r="F81" s="133"/>
      <c r="G81" s="133"/>
    </row>
    <row r="82" spans="1:7" ht="14" customHeight="1">
      <c r="A82" s="133"/>
      <c r="B82" s="133"/>
      <c r="C82" s="133"/>
      <c r="D82" s="133"/>
      <c r="E82" s="133"/>
      <c r="F82" s="133"/>
      <c r="G82" s="133"/>
    </row>
    <row r="83" spans="1:7" ht="14" customHeight="1">
      <c r="A83" s="133"/>
      <c r="B83" s="133"/>
      <c r="C83" s="133"/>
      <c r="D83" s="133"/>
      <c r="E83" s="133"/>
      <c r="F83" s="133"/>
      <c r="G83" s="133"/>
    </row>
    <row r="84" spans="1:7" ht="14" customHeight="1">
      <c r="A84" s="133"/>
      <c r="B84" s="133"/>
      <c r="C84" s="133"/>
      <c r="D84" s="133"/>
      <c r="E84" s="133"/>
      <c r="F84" s="133"/>
      <c r="G84" s="133"/>
    </row>
    <row r="85" spans="1:7" ht="14" customHeight="1">
      <c r="A85" s="133"/>
      <c r="B85" s="133"/>
      <c r="C85" s="133"/>
      <c r="D85" s="133"/>
      <c r="E85" s="133"/>
      <c r="F85" s="133"/>
      <c r="G85" s="133"/>
    </row>
    <row r="86" spans="1:7" ht="14" customHeight="1">
      <c r="A86" s="133"/>
      <c r="B86" s="133"/>
      <c r="C86" s="133"/>
      <c r="D86" s="133"/>
      <c r="E86" s="133"/>
      <c r="F86" s="133"/>
      <c r="G86" s="133"/>
    </row>
    <row r="87" spans="1:7" ht="14" customHeight="1">
      <c r="A87" s="133"/>
      <c r="B87" s="133"/>
      <c r="C87" s="133"/>
      <c r="D87" s="133"/>
      <c r="E87" s="133"/>
      <c r="F87" s="133"/>
      <c r="G87" s="133"/>
    </row>
    <row r="88" spans="1:7" ht="14" customHeight="1">
      <c r="A88" s="133"/>
      <c r="B88" s="133"/>
      <c r="C88" s="133"/>
      <c r="D88" s="133"/>
      <c r="E88" s="133"/>
      <c r="F88" s="133"/>
      <c r="G88" s="133"/>
    </row>
    <row r="89" spans="1:7" ht="14" customHeight="1">
      <c r="A89" s="133"/>
      <c r="B89" s="133"/>
      <c r="C89" s="133"/>
      <c r="D89" s="133"/>
      <c r="E89" s="133"/>
      <c r="F89" s="133"/>
      <c r="G89" s="133"/>
    </row>
    <row r="90" spans="1:7" ht="14" customHeight="1">
      <c r="A90" s="133"/>
      <c r="B90" s="133"/>
      <c r="C90" s="133"/>
      <c r="D90" s="133"/>
      <c r="E90" s="133"/>
      <c r="F90" s="133"/>
      <c r="G90" s="133"/>
    </row>
    <row r="91" spans="1:7" ht="14" customHeight="1" thickBot="1">
      <c r="A91" s="133"/>
      <c r="B91" s="133"/>
      <c r="C91" s="133"/>
      <c r="D91" s="133"/>
      <c r="E91" s="133"/>
      <c r="F91" s="133"/>
    </row>
    <row r="92" spans="1:7" ht="14" customHeight="1">
      <c r="A92" s="139" t="s">
        <v>18</v>
      </c>
      <c r="B92" s="140"/>
      <c r="C92" s="140"/>
      <c r="D92" s="140"/>
      <c r="E92" s="141"/>
    </row>
    <row r="93" spans="1:7" ht="14" customHeight="1">
      <c r="A93" s="57" t="str">
        <f>A14</f>
        <v>Producto:</v>
      </c>
      <c r="B93" s="142"/>
      <c r="C93" s="142"/>
      <c r="D93" s="142"/>
      <c r="E93" s="143"/>
    </row>
    <row r="94" spans="1:7" ht="14" customHeight="1" thickBot="1">
      <c r="A94" s="58" t="str">
        <f>A15</f>
        <v>Motivo:</v>
      </c>
      <c r="B94" s="144"/>
      <c r="C94" s="144"/>
      <c r="D94" s="144"/>
      <c r="E94" s="145"/>
    </row>
    <row r="95" spans="1:7" ht="14" customHeight="1"/>
    <row r="96" spans="1:7" ht="14" customHeight="1"/>
    <row r="97" spans="1:9" ht="14" customHeight="1">
      <c r="A97" s="137" t="s">
        <v>23</v>
      </c>
      <c r="B97" s="138"/>
      <c r="C97" s="8" t="s">
        <v>19</v>
      </c>
      <c r="D97" s="8" t="s">
        <v>20</v>
      </c>
      <c r="E97" s="8" t="s">
        <v>21</v>
      </c>
      <c r="F97" s="8" t="s">
        <v>59</v>
      </c>
      <c r="G97" s="8" t="s">
        <v>60</v>
      </c>
      <c r="H97" s="73" t="s">
        <v>185</v>
      </c>
      <c r="I97" s="14">
        <v>3.6</v>
      </c>
    </row>
    <row r="98" spans="1:9" ht="14" customHeight="1">
      <c r="A98" s="113" t="s">
        <v>258</v>
      </c>
      <c r="B98" s="114"/>
      <c r="C98" s="25">
        <v>1</v>
      </c>
      <c r="D98" s="25">
        <v>1</v>
      </c>
      <c r="E98" s="24">
        <v>0</v>
      </c>
      <c r="F98" s="10">
        <f>C98*D98*E98</f>
        <v>0</v>
      </c>
      <c r="G98" s="21">
        <f>F98*$I$97</f>
        <v>0</v>
      </c>
    </row>
    <row r="99" spans="1:9" ht="14" customHeight="1">
      <c r="A99" s="113" t="s">
        <v>257</v>
      </c>
      <c r="B99" s="114"/>
      <c r="C99" s="25"/>
      <c r="D99" s="25"/>
      <c r="E99" s="24"/>
      <c r="F99" s="10">
        <f t="shared" ref="F99:F107" si="0">C99*D99*E99</f>
        <v>0</v>
      </c>
      <c r="G99" s="21">
        <f t="shared" ref="G99:G109" si="1">F99*$I$97</f>
        <v>0</v>
      </c>
    </row>
    <row r="100" spans="1:9" ht="14" customHeight="1">
      <c r="A100" s="110" t="s">
        <v>294</v>
      </c>
      <c r="B100" s="111"/>
      <c r="C100" s="25">
        <v>0</v>
      </c>
      <c r="D100" s="25">
        <v>0</v>
      </c>
      <c r="E100" s="24">
        <v>0</v>
      </c>
      <c r="F100" s="10">
        <f t="shared" si="0"/>
        <v>0</v>
      </c>
      <c r="G100" s="21">
        <f t="shared" si="1"/>
        <v>0</v>
      </c>
    </row>
    <row r="101" spans="1:9" ht="14" customHeight="1">
      <c r="A101" s="110" t="s">
        <v>263</v>
      </c>
      <c r="B101" s="111"/>
      <c r="C101" s="25">
        <v>0</v>
      </c>
      <c r="D101" s="25">
        <v>0</v>
      </c>
      <c r="E101" s="24"/>
      <c r="F101" s="10">
        <f t="shared" si="0"/>
        <v>0</v>
      </c>
      <c r="G101" s="21">
        <f t="shared" si="1"/>
        <v>0</v>
      </c>
    </row>
    <row r="102" spans="1:9" ht="14" customHeight="1">
      <c r="A102" s="83"/>
      <c r="B102" s="84"/>
      <c r="C102" s="25"/>
      <c r="D102" s="25"/>
      <c r="E102" s="24"/>
      <c r="F102" s="10">
        <f t="shared" ref="F102:F104" si="2">C102*D102*E102</f>
        <v>0</v>
      </c>
      <c r="G102" s="21">
        <f t="shared" ref="G102:G104" si="3">F102*$I$97</f>
        <v>0</v>
      </c>
    </row>
    <row r="103" spans="1:9" ht="14" customHeight="1">
      <c r="A103" s="113" t="s">
        <v>24</v>
      </c>
      <c r="B103" s="114"/>
      <c r="C103" s="25"/>
      <c r="D103" s="25"/>
      <c r="E103" s="24"/>
      <c r="F103" s="10">
        <f t="shared" si="2"/>
        <v>0</v>
      </c>
      <c r="G103" s="21">
        <f t="shared" si="3"/>
        <v>0</v>
      </c>
    </row>
    <row r="104" spans="1:9" ht="14" customHeight="1">
      <c r="A104" s="110" t="s">
        <v>247</v>
      </c>
      <c r="B104" s="111"/>
      <c r="C104" s="25"/>
      <c r="D104" s="25"/>
      <c r="E104" s="24"/>
      <c r="F104" s="10">
        <f t="shared" si="2"/>
        <v>0</v>
      </c>
      <c r="G104" s="21">
        <f t="shared" si="3"/>
        <v>0</v>
      </c>
    </row>
    <row r="105" spans="1:9" ht="14" customHeight="1">
      <c r="A105" s="110" t="s">
        <v>211</v>
      </c>
      <c r="B105" s="111"/>
      <c r="C105" s="25"/>
      <c r="D105" s="25"/>
      <c r="E105" s="24"/>
      <c r="F105" s="10">
        <f t="shared" si="0"/>
        <v>0</v>
      </c>
      <c r="G105" s="21">
        <f t="shared" si="1"/>
        <v>0</v>
      </c>
    </row>
    <row r="106" spans="1:9" ht="14" customHeight="1">
      <c r="A106" s="113" t="s">
        <v>212</v>
      </c>
      <c r="B106" s="114"/>
      <c r="C106" s="25"/>
      <c r="D106" s="25"/>
      <c r="E106" s="24"/>
      <c r="F106" s="10">
        <f t="shared" si="0"/>
        <v>0</v>
      </c>
      <c r="G106" s="21">
        <f t="shared" si="1"/>
        <v>0</v>
      </c>
    </row>
    <row r="107" spans="1:9" ht="14" customHeight="1">
      <c r="A107" s="110" t="s">
        <v>212</v>
      </c>
      <c r="B107" s="111"/>
      <c r="C107" s="25"/>
      <c r="D107" s="25"/>
      <c r="E107" s="24"/>
      <c r="F107" s="10">
        <f t="shared" si="0"/>
        <v>0</v>
      </c>
      <c r="G107" s="21">
        <f t="shared" si="1"/>
        <v>0</v>
      </c>
    </row>
    <row r="108" spans="1:9" ht="14" customHeight="1">
      <c r="A108" s="113" t="s">
        <v>25</v>
      </c>
      <c r="B108" s="114"/>
      <c r="C108" s="25"/>
      <c r="D108" s="25"/>
      <c r="E108" s="24"/>
      <c r="F108" s="10">
        <f t="shared" ref="F108:F112" si="4">C108*D108*E108</f>
        <v>0</v>
      </c>
      <c r="G108" s="21">
        <f t="shared" si="1"/>
        <v>0</v>
      </c>
    </row>
    <row r="109" spans="1:9" ht="14" customHeight="1">
      <c r="A109" s="110" t="s">
        <v>295</v>
      </c>
      <c r="B109" s="111"/>
      <c r="C109" s="25">
        <v>0</v>
      </c>
      <c r="D109" s="25">
        <v>0</v>
      </c>
      <c r="E109" s="24">
        <v>0</v>
      </c>
      <c r="F109" s="10">
        <f t="shared" si="4"/>
        <v>0</v>
      </c>
      <c r="G109" s="21">
        <f t="shared" si="1"/>
        <v>0</v>
      </c>
    </row>
    <row r="110" spans="1:9" ht="14" customHeight="1">
      <c r="A110" s="110"/>
      <c r="B110" s="111"/>
      <c r="C110" s="25"/>
      <c r="D110" s="25"/>
      <c r="E110" s="24"/>
      <c r="F110" s="10"/>
      <c r="G110" s="21"/>
    </row>
    <row r="111" spans="1:9" ht="14" hidden="1" customHeight="1">
      <c r="A111" s="113" t="s">
        <v>213</v>
      </c>
      <c r="B111" s="114"/>
      <c r="C111" s="25"/>
      <c r="D111" s="25"/>
      <c r="E111" s="24"/>
      <c r="F111" s="10"/>
      <c r="G111" s="21"/>
    </row>
    <row r="112" spans="1:9" ht="14" hidden="1" customHeight="1">
      <c r="A112" s="113" t="s">
        <v>214</v>
      </c>
      <c r="B112" s="114"/>
      <c r="C112" s="25"/>
      <c r="D112" s="25"/>
      <c r="E112" s="24"/>
      <c r="F112" s="10">
        <f t="shared" si="4"/>
        <v>0</v>
      </c>
      <c r="G112" s="21">
        <f t="shared" ref="G112:G118" si="5">F112*$I$97</f>
        <v>0</v>
      </c>
    </row>
    <row r="113" spans="1:7" ht="14" hidden="1" customHeight="1">
      <c r="A113" s="113" t="s">
        <v>215</v>
      </c>
      <c r="B113" s="114"/>
      <c r="C113" s="25"/>
      <c r="D113" s="25"/>
      <c r="E113" s="24"/>
      <c r="F113" s="10"/>
      <c r="G113" s="21">
        <f t="shared" si="5"/>
        <v>0</v>
      </c>
    </row>
    <row r="114" spans="1:7" ht="14" hidden="1" customHeight="1">
      <c r="A114" s="110" t="s">
        <v>216</v>
      </c>
      <c r="B114" s="111"/>
      <c r="C114" s="25"/>
      <c r="D114" s="25"/>
      <c r="E114" s="24"/>
      <c r="F114" s="10">
        <f>C114*D114*E114</f>
        <v>0</v>
      </c>
      <c r="G114" s="21">
        <f t="shared" si="5"/>
        <v>0</v>
      </c>
    </row>
    <row r="115" spans="1:7" ht="14" hidden="1" customHeight="1">
      <c r="A115" s="110" t="s">
        <v>217</v>
      </c>
      <c r="B115" s="111"/>
      <c r="C115" s="25"/>
      <c r="D115" s="25"/>
      <c r="E115" s="24"/>
      <c r="F115" s="10">
        <f>C115*D115*E115</f>
        <v>0</v>
      </c>
      <c r="G115" s="21">
        <f t="shared" si="5"/>
        <v>0</v>
      </c>
    </row>
    <row r="116" spans="1:7" ht="14" hidden="1" customHeight="1">
      <c r="A116" s="110" t="s">
        <v>218</v>
      </c>
      <c r="B116" s="111"/>
      <c r="C116" s="25"/>
      <c r="D116" s="25"/>
      <c r="E116" s="24"/>
      <c r="F116" s="10">
        <f>C116*D116*E116</f>
        <v>0</v>
      </c>
      <c r="G116" s="21">
        <f t="shared" si="5"/>
        <v>0</v>
      </c>
    </row>
    <row r="117" spans="1:7" ht="14" hidden="1" customHeight="1">
      <c r="A117" s="110" t="s">
        <v>219</v>
      </c>
      <c r="B117" s="111"/>
      <c r="C117" s="25"/>
      <c r="D117" s="25"/>
      <c r="E117" s="24"/>
      <c r="F117" s="10">
        <f>C117*D117*E117</f>
        <v>0</v>
      </c>
      <c r="G117" s="21">
        <f t="shared" si="5"/>
        <v>0</v>
      </c>
    </row>
    <row r="118" spans="1:7" ht="14" hidden="1" customHeight="1">
      <c r="A118" s="110" t="s">
        <v>220</v>
      </c>
      <c r="B118" s="111"/>
      <c r="C118" s="25"/>
      <c r="D118" s="25"/>
      <c r="E118" s="24"/>
      <c r="F118" s="10">
        <f>C118*D118*E118</f>
        <v>0</v>
      </c>
      <c r="G118" s="21">
        <f t="shared" si="5"/>
        <v>0</v>
      </c>
    </row>
    <row r="119" spans="1:7" ht="14" hidden="1" customHeight="1">
      <c r="A119" s="110"/>
      <c r="B119" s="111"/>
      <c r="C119" s="25"/>
      <c r="D119" s="25"/>
      <c r="E119" s="24"/>
      <c r="F119" s="10"/>
      <c r="G119" s="21"/>
    </row>
    <row r="120" spans="1:7" ht="14" hidden="1" customHeight="1">
      <c r="A120" s="113" t="s">
        <v>221</v>
      </c>
      <c r="B120" s="114"/>
      <c r="C120" s="25"/>
      <c r="D120" s="25"/>
      <c r="E120" s="24"/>
      <c r="F120" s="10"/>
      <c r="G120" s="21"/>
    </row>
    <row r="121" spans="1:7" ht="14" hidden="1" customHeight="1">
      <c r="A121" s="110" t="s">
        <v>222</v>
      </c>
      <c r="B121" s="111"/>
      <c r="C121" s="25"/>
      <c r="D121" s="25"/>
      <c r="E121" s="24"/>
      <c r="F121" s="10">
        <f t="shared" ref="F121:F126" si="6">C121*D121*E121</f>
        <v>0</v>
      </c>
      <c r="G121" s="21">
        <f t="shared" ref="G121:G130" si="7">F121*$I$97</f>
        <v>0</v>
      </c>
    </row>
    <row r="122" spans="1:7" ht="14" hidden="1" customHeight="1">
      <c r="A122" s="110" t="s">
        <v>223</v>
      </c>
      <c r="B122" s="111"/>
      <c r="C122" s="25"/>
      <c r="D122" s="25"/>
      <c r="E122" s="24"/>
      <c r="F122" s="10">
        <f t="shared" si="6"/>
        <v>0</v>
      </c>
      <c r="G122" s="21">
        <f t="shared" si="7"/>
        <v>0</v>
      </c>
    </row>
    <row r="123" spans="1:7" ht="14" hidden="1" customHeight="1">
      <c r="A123" s="110" t="s">
        <v>26</v>
      </c>
      <c r="B123" s="111"/>
      <c r="C123" s="25"/>
      <c r="D123" s="25"/>
      <c r="E123" s="24"/>
      <c r="F123" s="10">
        <f t="shared" si="6"/>
        <v>0</v>
      </c>
      <c r="G123" s="21">
        <f t="shared" si="7"/>
        <v>0</v>
      </c>
    </row>
    <row r="124" spans="1:7" ht="14" hidden="1" customHeight="1">
      <c r="A124" s="110" t="s">
        <v>27</v>
      </c>
      <c r="B124" s="111"/>
      <c r="C124" s="25"/>
      <c r="D124" s="25"/>
      <c r="E124" s="24"/>
      <c r="F124" s="10">
        <f t="shared" si="6"/>
        <v>0</v>
      </c>
      <c r="G124" s="21">
        <f t="shared" si="7"/>
        <v>0</v>
      </c>
    </row>
    <row r="125" spans="1:7" ht="14" hidden="1" customHeight="1">
      <c r="A125" s="110" t="s">
        <v>28</v>
      </c>
      <c r="B125" s="111"/>
      <c r="C125" s="25"/>
      <c r="D125" s="25"/>
      <c r="E125" s="24"/>
      <c r="F125" s="10">
        <f t="shared" si="6"/>
        <v>0</v>
      </c>
      <c r="G125" s="21">
        <f t="shared" si="7"/>
        <v>0</v>
      </c>
    </row>
    <row r="126" spans="1:7" ht="14" hidden="1" customHeight="1">
      <c r="A126" s="110" t="s">
        <v>224</v>
      </c>
      <c r="B126" s="111"/>
      <c r="C126" s="25"/>
      <c r="D126" s="25"/>
      <c r="E126" s="24"/>
      <c r="F126" s="10">
        <f t="shared" si="6"/>
        <v>0</v>
      </c>
      <c r="G126" s="21">
        <f t="shared" si="7"/>
        <v>0</v>
      </c>
    </row>
    <row r="127" spans="1:7" ht="14" hidden="1" customHeight="1">
      <c r="A127" s="110" t="s">
        <v>225</v>
      </c>
      <c r="B127" s="111"/>
      <c r="C127" s="25"/>
      <c r="D127" s="25"/>
      <c r="E127" s="24"/>
      <c r="F127" s="10">
        <f>C127*D127*E127</f>
        <v>0</v>
      </c>
      <c r="G127" s="21">
        <f t="shared" si="7"/>
        <v>0</v>
      </c>
    </row>
    <row r="128" spans="1:7" ht="14" hidden="1" customHeight="1">
      <c r="A128" s="110" t="s">
        <v>226</v>
      </c>
      <c r="B128" s="111"/>
      <c r="C128" s="25"/>
      <c r="D128" s="25"/>
      <c r="E128" s="24"/>
      <c r="F128" s="10">
        <f>C128*D128*E128</f>
        <v>0</v>
      </c>
      <c r="G128" s="21">
        <f t="shared" si="7"/>
        <v>0</v>
      </c>
    </row>
    <row r="129" spans="1:7" ht="14" hidden="1" customHeight="1">
      <c r="A129" s="110" t="s">
        <v>227</v>
      </c>
      <c r="B129" s="111"/>
      <c r="C129" s="25"/>
      <c r="D129" s="25"/>
      <c r="E129" s="24"/>
      <c r="F129" s="10">
        <f>C129*D129*E129</f>
        <v>0</v>
      </c>
      <c r="G129" s="21">
        <f t="shared" si="7"/>
        <v>0</v>
      </c>
    </row>
    <row r="130" spans="1:7" ht="14" hidden="1" customHeight="1">
      <c r="A130" s="110" t="s">
        <v>228</v>
      </c>
      <c r="B130" s="111"/>
      <c r="C130" s="25"/>
      <c r="D130" s="25"/>
      <c r="E130" s="24"/>
      <c r="F130" s="10">
        <f>C130*D130*E130</f>
        <v>0</v>
      </c>
      <c r="G130" s="21">
        <f t="shared" si="7"/>
        <v>0</v>
      </c>
    </row>
    <row r="131" spans="1:7" ht="14" customHeight="1">
      <c r="A131" s="110"/>
      <c r="B131" s="111"/>
      <c r="C131" s="25"/>
      <c r="D131" s="25"/>
      <c r="E131" s="24"/>
      <c r="F131" s="11">
        <f>SUM(F98:F130)</f>
        <v>0</v>
      </c>
      <c r="G131" s="22">
        <f>SUM(G98:G130)</f>
        <v>0</v>
      </c>
    </row>
    <row r="132" spans="1:7" ht="14" customHeight="1">
      <c r="A132" s="112" t="s">
        <v>29</v>
      </c>
      <c r="B132" s="112"/>
      <c r="C132" s="5"/>
      <c r="D132" s="5"/>
      <c r="E132" s="5"/>
      <c r="F132" s="5"/>
      <c r="G132" s="23"/>
    </row>
    <row r="133" spans="1:7" ht="14" customHeight="1">
      <c r="A133" s="110" t="s">
        <v>30</v>
      </c>
      <c r="B133" s="111"/>
      <c r="C133" s="25"/>
      <c r="D133" s="25"/>
      <c r="E133" s="24"/>
      <c r="F133" s="10">
        <f t="shared" ref="F133:F151" si="8">C133*D133*E133</f>
        <v>0</v>
      </c>
      <c r="G133" s="21">
        <f t="shared" ref="G133:G151" si="9">F133*$I$97</f>
        <v>0</v>
      </c>
    </row>
    <row r="134" spans="1:7" ht="14" hidden="1" customHeight="1">
      <c r="A134" s="110" t="s">
        <v>245</v>
      </c>
      <c r="B134" s="111"/>
      <c r="C134" s="25"/>
      <c r="D134" s="25"/>
      <c r="E134" s="24"/>
      <c r="F134" s="10">
        <f t="shared" si="8"/>
        <v>0</v>
      </c>
      <c r="G134" s="21">
        <f t="shared" si="9"/>
        <v>0</v>
      </c>
    </row>
    <row r="135" spans="1:7" ht="14" customHeight="1">
      <c r="A135" s="110" t="s">
        <v>31</v>
      </c>
      <c r="B135" s="111"/>
      <c r="C135" s="25"/>
      <c r="D135" s="25"/>
      <c r="E135" s="24"/>
      <c r="F135" s="10">
        <f t="shared" si="8"/>
        <v>0</v>
      </c>
      <c r="G135" s="21">
        <f t="shared" si="9"/>
        <v>0</v>
      </c>
    </row>
    <row r="136" spans="1:7" ht="14" customHeight="1">
      <c r="A136" s="110" t="s">
        <v>163</v>
      </c>
      <c r="B136" s="111"/>
      <c r="C136" s="25"/>
      <c r="D136" s="25"/>
      <c r="E136" s="24"/>
      <c r="F136" s="10">
        <f t="shared" si="8"/>
        <v>0</v>
      </c>
      <c r="G136" s="21">
        <f t="shared" si="9"/>
        <v>0</v>
      </c>
    </row>
    <row r="137" spans="1:7" ht="14" customHeight="1">
      <c r="A137" s="110" t="s">
        <v>32</v>
      </c>
      <c r="B137" s="111"/>
      <c r="C137" s="25"/>
      <c r="D137" s="25"/>
      <c r="E137" s="24"/>
      <c r="F137" s="10">
        <f t="shared" si="8"/>
        <v>0</v>
      </c>
      <c r="G137" s="21">
        <f t="shared" si="9"/>
        <v>0</v>
      </c>
    </row>
    <row r="138" spans="1:7" ht="14" customHeight="1">
      <c r="A138" s="110" t="s">
        <v>229</v>
      </c>
      <c r="B138" s="111"/>
      <c r="C138" s="25"/>
      <c r="D138" s="25"/>
      <c r="E138" s="24"/>
      <c r="F138" s="10">
        <f t="shared" si="8"/>
        <v>0</v>
      </c>
      <c r="G138" s="21">
        <f t="shared" si="9"/>
        <v>0</v>
      </c>
    </row>
    <row r="139" spans="1:7" ht="14" customHeight="1">
      <c r="A139" s="110" t="s">
        <v>33</v>
      </c>
      <c r="B139" s="111"/>
      <c r="C139" s="25"/>
      <c r="D139" s="25"/>
      <c r="E139" s="24"/>
      <c r="F139" s="10">
        <f t="shared" si="8"/>
        <v>0</v>
      </c>
      <c r="G139" s="21">
        <f t="shared" si="9"/>
        <v>0</v>
      </c>
    </row>
    <row r="140" spans="1:7" ht="14" customHeight="1">
      <c r="A140" s="110" t="s">
        <v>34</v>
      </c>
      <c r="B140" s="111"/>
      <c r="C140" s="25"/>
      <c r="D140" s="25"/>
      <c r="E140" s="24"/>
      <c r="F140" s="10">
        <f t="shared" si="8"/>
        <v>0</v>
      </c>
      <c r="G140" s="21">
        <f t="shared" si="9"/>
        <v>0</v>
      </c>
    </row>
    <row r="141" spans="1:7" ht="14" customHeight="1">
      <c r="A141" s="110" t="s">
        <v>230</v>
      </c>
      <c r="B141" s="111"/>
      <c r="C141" s="25"/>
      <c r="D141" s="25"/>
      <c r="E141" s="24"/>
      <c r="F141" s="10">
        <f t="shared" si="8"/>
        <v>0</v>
      </c>
      <c r="G141" s="21">
        <f t="shared" si="9"/>
        <v>0</v>
      </c>
    </row>
    <row r="142" spans="1:7" ht="14" customHeight="1">
      <c r="A142" s="110" t="s">
        <v>231</v>
      </c>
      <c r="B142" s="111"/>
      <c r="C142" s="25"/>
      <c r="D142" s="25"/>
      <c r="E142" s="24"/>
      <c r="F142" s="10">
        <f t="shared" si="8"/>
        <v>0</v>
      </c>
      <c r="G142" s="21">
        <f t="shared" si="9"/>
        <v>0</v>
      </c>
    </row>
    <row r="143" spans="1:7" ht="14" customHeight="1">
      <c r="A143" s="110" t="s">
        <v>298</v>
      </c>
      <c r="B143" s="111"/>
      <c r="C143" s="25"/>
      <c r="D143" s="25"/>
      <c r="E143" s="24"/>
      <c r="F143" s="10">
        <f t="shared" si="8"/>
        <v>0</v>
      </c>
      <c r="G143" s="21">
        <f t="shared" si="9"/>
        <v>0</v>
      </c>
    </row>
    <row r="144" spans="1:7" ht="14" customHeight="1">
      <c r="A144" s="110" t="s">
        <v>232</v>
      </c>
      <c r="B144" s="111"/>
      <c r="C144" s="25"/>
      <c r="D144" s="25"/>
      <c r="E144" s="24"/>
      <c r="F144" s="10">
        <f t="shared" si="8"/>
        <v>0</v>
      </c>
      <c r="G144" s="21">
        <f t="shared" si="9"/>
        <v>0</v>
      </c>
    </row>
    <row r="145" spans="1:7" ht="14" customHeight="1">
      <c r="A145" s="110" t="s">
        <v>233</v>
      </c>
      <c r="B145" s="111"/>
      <c r="C145" s="25"/>
      <c r="D145" s="25"/>
      <c r="E145" s="24"/>
      <c r="F145" s="10">
        <f t="shared" si="8"/>
        <v>0</v>
      </c>
      <c r="G145" s="21">
        <f t="shared" si="9"/>
        <v>0</v>
      </c>
    </row>
    <row r="146" spans="1:7" ht="14" customHeight="1">
      <c r="A146" s="110" t="s">
        <v>234</v>
      </c>
      <c r="B146" s="111"/>
      <c r="C146" s="25"/>
      <c r="D146" s="25"/>
      <c r="E146" s="24"/>
      <c r="F146" s="10">
        <f t="shared" si="8"/>
        <v>0</v>
      </c>
      <c r="G146" s="21">
        <f t="shared" si="9"/>
        <v>0</v>
      </c>
    </row>
    <row r="147" spans="1:7" ht="14" customHeight="1">
      <c r="A147" s="110" t="s">
        <v>261</v>
      </c>
      <c r="B147" s="111"/>
      <c r="C147" s="25"/>
      <c r="D147" s="25"/>
      <c r="E147" s="24"/>
      <c r="F147" s="10">
        <f t="shared" si="8"/>
        <v>0</v>
      </c>
      <c r="G147" s="21">
        <f t="shared" si="9"/>
        <v>0</v>
      </c>
    </row>
    <row r="148" spans="1:7" ht="14" customHeight="1">
      <c r="A148" s="110" t="s">
        <v>235</v>
      </c>
      <c r="B148" s="111"/>
      <c r="C148" s="25"/>
      <c r="D148" s="25"/>
      <c r="E148" s="24"/>
      <c r="F148" s="10">
        <f t="shared" si="8"/>
        <v>0</v>
      </c>
      <c r="G148" s="21">
        <f t="shared" si="9"/>
        <v>0</v>
      </c>
    </row>
    <row r="149" spans="1:7" ht="14" customHeight="1">
      <c r="A149" s="110" t="s">
        <v>164</v>
      </c>
      <c r="B149" s="111"/>
      <c r="C149" s="25"/>
      <c r="D149" s="25"/>
      <c r="E149" s="24"/>
      <c r="F149" s="10">
        <f t="shared" si="8"/>
        <v>0</v>
      </c>
      <c r="G149" s="21">
        <f t="shared" si="9"/>
        <v>0</v>
      </c>
    </row>
    <row r="150" spans="1:7" ht="14" customHeight="1">
      <c r="A150" s="110" t="s">
        <v>165</v>
      </c>
      <c r="B150" s="111"/>
      <c r="C150" s="25"/>
      <c r="D150" s="25"/>
      <c r="E150" s="24"/>
      <c r="F150" s="10">
        <f t="shared" si="8"/>
        <v>0</v>
      </c>
      <c r="G150" s="21">
        <f t="shared" si="9"/>
        <v>0</v>
      </c>
    </row>
    <row r="151" spans="1:7" ht="14" customHeight="1">
      <c r="A151" s="110" t="s">
        <v>166</v>
      </c>
      <c r="B151" s="111"/>
      <c r="C151" s="25"/>
      <c r="D151" s="25"/>
      <c r="E151" s="24"/>
      <c r="F151" s="10">
        <f t="shared" si="8"/>
        <v>0</v>
      </c>
      <c r="G151" s="21">
        <f t="shared" si="9"/>
        <v>0</v>
      </c>
    </row>
    <row r="152" spans="1:7" ht="14" customHeight="1">
      <c r="A152" s="110"/>
      <c r="B152" s="111"/>
      <c r="C152" s="25"/>
      <c r="D152" s="25"/>
      <c r="E152" s="24"/>
      <c r="F152" s="11">
        <f>SUM(F133:F151)</f>
        <v>0</v>
      </c>
      <c r="G152" s="22">
        <f>SUM(G133:G151)</f>
        <v>0</v>
      </c>
    </row>
    <row r="153" spans="1:7" ht="14" customHeight="1">
      <c r="A153" s="112" t="s">
        <v>35</v>
      </c>
      <c r="B153" s="112"/>
      <c r="C153" s="5"/>
      <c r="D153" s="5"/>
      <c r="E153" s="5"/>
      <c r="F153" s="5"/>
      <c r="G153" s="23"/>
    </row>
    <row r="154" spans="1:7" ht="14" customHeight="1">
      <c r="A154" s="113" t="s">
        <v>36</v>
      </c>
      <c r="B154" s="114"/>
      <c r="C154" s="25"/>
      <c r="D154" s="25"/>
      <c r="E154" s="24"/>
      <c r="F154" s="10"/>
      <c r="G154" s="21"/>
    </row>
    <row r="155" spans="1:7" ht="14" customHeight="1">
      <c r="A155" s="110" t="s">
        <v>37</v>
      </c>
      <c r="B155" s="111"/>
      <c r="C155" s="25">
        <v>1</v>
      </c>
      <c r="D155" s="25"/>
      <c r="E155" s="24"/>
      <c r="F155" s="10">
        <f>C155*D155*E155</f>
        <v>0</v>
      </c>
      <c r="G155" s="21">
        <f t="shared" ref="G155:G160" si="10">F155*$I$97</f>
        <v>0</v>
      </c>
    </row>
    <row r="156" spans="1:7" ht="14" customHeight="1">
      <c r="A156" s="110" t="s">
        <v>167</v>
      </c>
      <c r="B156" s="111"/>
      <c r="C156" s="25">
        <v>1</v>
      </c>
      <c r="D156" s="25"/>
      <c r="E156" s="24"/>
      <c r="F156" s="10">
        <f>C156*D156*E156</f>
        <v>0</v>
      </c>
      <c r="G156" s="21">
        <f t="shared" si="10"/>
        <v>0</v>
      </c>
    </row>
    <row r="157" spans="1:7" ht="14" customHeight="1">
      <c r="A157" s="110" t="s">
        <v>168</v>
      </c>
      <c r="B157" s="111"/>
      <c r="C157" s="25"/>
      <c r="D157" s="25"/>
      <c r="E157" s="24"/>
      <c r="F157" s="10">
        <f>C157*D157*E157</f>
        <v>0</v>
      </c>
      <c r="G157" s="21">
        <f t="shared" si="10"/>
        <v>0</v>
      </c>
    </row>
    <row r="158" spans="1:7" ht="14" customHeight="1">
      <c r="A158" s="113" t="s">
        <v>38</v>
      </c>
      <c r="B158" s="114"/>
      <c r="C158" s="25"/>
      <c r="D158" s="25"/>
      <c r="E158" s="24"/>
      <c r="F158" s="10"/>
      <c r="G158" s="21">
        <f t="shared" si="10"/>
        <v>0</v>
      </c>
    </row>
    <row r="159" spans="1:7" ht="14" customHeight="1">
      <c r="A159" s="110" t="s">
        <v>299</v>
      </c>
      <c r="B159" s="111"/>
      <c r="C159" s="25"/>
      <c r="D159" s="25"/>
      <c r="E159" s="24"/>
      <c r="F159" s="10" t="s">
        <v>69</v>
      </c>
      <c r="G159" s="21" t="s">
        <v>69</v>
      </c>
    </row>
    <row r="160" spans="1:7" ht="14" customHeight="1">
      <c r="A160" s="110"/>
      <c r="B160" s="111"/>
      <c r="C160" s="25"/>
      <c r="D160" s="25"/>
      <c r="E160" s="24"/>
      <c r="F160" s="10">
        <f>C160*D160*E160</f>
        <v>0</v>
      </c>
      <c r="G160" s="21">
        <f t="shared" si="10"/>
        <v>0</v>
      </c>
    </row>
    <row r="161" spans="1:7" ht="14" customHeight="1">
      <c r="A161" s="110"/>
      <c r="B161" s="111"/>
      <c r="C161" s="25"/>
      <c r="D161" s="25"/>
      <c r="E161" s="24"/>
      <c r="F161" s="10">
        <f>C161*D161*E161</f>
        <v>0</v>
      </c>
      <c r="G161" s="21">
        <f>F161*$I$97</f>
        <v>0</v>
      </c>
    </row>
    <row r="162" spans="1:7" ht="14" customHeight="1">
      <c r="A162" s="110"/>
      <c r="B162" s="111"/>
      <c r="C162" s="25"/>
      <c r="D162" s="25"/>
      <c r="E162" s="24"/>
      <c r="F162" s="10">
        <f>C162*D162*E162</f>
        <v>0</v>
      </c>
      <c r="G162" s="21">
        <f>F162*$I$97</f>
        <v>0</v>
      </c>
    </row>
    <row r="163" spans="1:7" ht="14" customHeight="1">
      <c r="A163" s="110"/>
      <c r="B163" s="111"/>
      <c r="C163" s="25"/>
      <c r="D163" s="25"/>
      <c r="E163" s="24"/>
      <c r="F163" s="10">
        <f>C163*D163*E163</f>
        <v>0</v>
      </c>
      <c r="G163" s="21">
        <f>F163*$I$97</f>
        <v>0</v>
      </c>
    </row>
    <row r="164" spans="1:7" ht="14" customHeight="1">
      <c r="A164" s="113" t="s">
        <v>39</v>
      </c>
      <c r="B164" s="114"/>
      <c r="C164" s="25"/>
      <c r="D164" s="25"/>
      <c r="E164" s="24"/>
      <c r="F164" s="10">
        <v>0</v>
      </c>
      <c r="G164" s="21">
        <f>F164*$I$97</f>
        <v>0</v>
      </c>
    </row>
    <row r="165" spans="1:7" ht="14" customHeight="1">
      <c r="A165" s="110" t="s">
        <v>169</v>
      </c>
      <c r="B165" s="111"/>
      <c r="C165" s="25">
        <v>1</v>
      </c>
      <c r="D165" s="25">
        <v>1</v>
      </c>
      <c r="E165" s="24">
        <v>0</v>
      </c>
      <c r="F165" s="10">
        <f>C165*D165*E165</f>
        <v>0</v>
      </c>
      <c r="G165" s="21">
        <f>F165*$I$97</f>
        <v>0</v>
      </c>
    </row>
    <row r="166" spans="1:7" ht="14" customHeight="1">
      <c r="A166" s="113" t="s">
        <v>40</v>
      </c>
      <c r="B166" s="114"/>
      <c r="C166" s="25"/>
      <c r="D166" s="25"/>
      <c r="E166" s="24"/>
      <c r="F166" s="10"/>
      <c r="G166" s="21"/>
    </row>
    <row r="167" spans="1:7" ht="14" customHeight="1">
      <c r="A167" s="110" t="s">
        <v>40</v>
      </c>
      <c r="B167" s="111"/>
      <c r="C167" s="25"/>
      <c r="D167" s="25"/>
      <c r="E167" s="24"/>
      <c r="F167" s="26" t="s">
        <v>69</v>
      </c>
      <c r="G167" s="27" t="s">
        <v>69</v>
      </c>
    </row>
    <row r="168" spans="1:7" ht="14" customHeight="1">
      <c r="A168" s="113"/>
      <c r="B168" s="114"/>
      <c r="C168" s="25"/>
      <c r="D168" s="25"/>
      <c r="E168" s="24"/>
      <c r="F168" s="11">
        <f>SUM(F154:F167)</f>
        <v>0</v>
      </c>
      <c r="G168" s="22">
        <f>SUM(G154:G167)</f>
        <v>0</v>
      </c>
    </row>
    <row r="169" spans="1:7" ht="14" customHeight="1">
      <c r="A169" s="112" t="s">
        <v>170</v>
      </c>
      <c r="B169" s="112"/>
      <c r="C169" s="5"/>
      <c r="D169" s="5"/>
      <c r="E169" s="5"/>
      <c r="F169" s="5"/>
      <c r="G169" s="23"/>
    </row>
    <row r="170" spans="1:7" ht="14" customHeight="1">
      <c r="A170" s="113" t="s">
        <v>41</v>
      </c>
      <c r="B170" s="114"/>
      <c r="C170" s="25"/>
      <c r="D170" s="25"/>
      <c r="E170" s="24"/>
      <c r="F170" s="10"/>
      <c r="G170" s="21"/>
    </row>
    <row r="171" spans="1:7" ht="14" customHeight="1">
      <c r="A171" s="110"/>
      <c r="B171" s="111"/>
      <c r="C171" s="25"/>
      <c r="D171" s="25"/>
      <c r="E171" s="24"/>
      <c r="F171" s="10">
        <f t="shared" ref="F171:F174" si="11">C171*D171*E171</f>
        <v>0</v>
      </c>
      <c r="G171" s="21">
        <f t="shared" ref="G171:G174" si="12">F171*$I$97</f>
        <v>0</v>
      </c>
    </row>
    <row r="172" spans="1:7" ht="14" customHeight="1">
      <c r="A172" s="110" t="s">
        <v>300</v>
      </c>
      <c r="B172" s="111"/>
      <c r="C172" s="25"/>
      <c r="D172" s="25"/>
      <c r="E172" s="24"/>
      <c r="F172" s="10" t="s">
        <v>69</v>
      </c>
      <c r="G172" s="21" t="s">
        <v>69</v>
      </c>
    </row>
    <row r="173" spans="1:7" ht="14" customHeight="1">
      <c r="A173" s="110"/>
      <c r="B173" s="111"/>
      <c r="C173" s="25"/>
      <c r="D173" s="25"/>
      <c r="E173" s="24"/>
      <c r="F173" s="10">
        <f t="shared" si="11"/>
        <v>0</v>
      </c>
      <c r="G173" s="21">
        <f t="shared" si="12"/>
        <v>0</v>
      </c>
    </row>
    <row r="174" spans="1:7" ht="14" customHeight="1">
      <c r="A174" s="83"/>
      <c r="B174" s="84"/>
      <c r="C174" s="25"/>
      <c r="D174" s="25"/>
      <c r="E174" s="24"/>
      <c r="F174" s="10">
        <f t="shared" si="11"/>
        <v>0</v>
      </c>
      <c r="G174" s="21">
        <f t="shared" si="12"/>
        <v>0</v>
      </c>
    </row>
    <row r="175" spans="1:7" ht="14" customHeight="1">
      <c r="A175" s="83"/>
      <c r="B175" s="84"/>
      <c r="C175" s="25"/>
      <c r="D175" s="25"/>
      <c r="E175" s="24"/>
      <c r="F175" s="10"/>
      <c r="G175" s="21"/>
    </row>
    <row r="176" spans="1:7" ht="14" customHeight="1">
      <c r="A176" s="93" t="s">
        <v>259</v>
      </c>
      <c r="B176" s="84"/>
      <c r="C176" s="25"/>
      <c r="D176" s="25"/>
      <c r="E176" s="24"/>
      <c r="F176" s="10"/>
      <c r="G176" s="21"/>
    </row>
    <row r="177" spans="1:7" ht="14" customHeight="1">
      <c r="A177" s="110" t="s">
        <v>264</v>
      </c>
      <c r="B177" s="111"/>
      <c r="C177" s="25"/>
      <c r="D177" s="25"/>
      <c r="E177" s="24"/>
      <c r="F177" s="10">
        <f>C177*D177*E177</f>
        <v>0</v>
      </c>
      <c r="G177" s="21">
        <f t="shared" ref="G177:G178" si="13">F177*$I$97</f>
        <v>0</v>
      </c>
    </row>
    <row r="178" spans="1:7" ht="14" customHeight="1">
      <c r="A178" s="110"/>
      <c r="B178" s="111"/>
      <c r="C178" s="25"/>
      <c r="D178" s="25"/>
      <c r="E178" s="24"/>
      <c r="F178" s="10">
        <f>C178*D178*E178</f>
        <v>0</v>
      </c>
      <c r="G178" s="21">
        <f t="shared" si="13"/>
        <v>0</v>
      </c>
    </row>
    <row r="179" spans="1:7" ht="14" customHeight="1">
      <c r="A179" s="83"/>
      <c r="B179" s="84"/>
      <c r="C179" s="25"/>
      <c r="D179" s="25"/>
      <c r="E179" s="24"/>
      <c r="F179" s="10">
        <f t="shared" ref="F179:F180" si="14">C179*D179*E179</f>
        <v>0</v>
      </c>
      <c r="G179" s="21">
        <f t="shared" ref="G179:G180" si="15">F179*$I$97</f>
        <v>0</v>
      </c>
    </row>
    <row r="180" spans="1:7" ht="14" customHeight="1">
      <c r="A180" s="83"/>
      <c r="B180" s="84"/>
      <c r="C180" s="25"/>
      <c r="D180" s="25"/>
      <c r="E180" s="24"/>
      <c r="F180" s="10">
        <f t="shared" si="14"/>
        <v>0</v>
      </c>
      <c r="G180" s="21">
        <f t="shared" si="15"/>
        <v>0</v>
      </c>
    </row>
    <row r="181" spans="1:7" ht="14" customHeight="1">
      <c r="A181" s="113" t="s">
        <v>42</v>
      </c>
      <c r="B181" s="114"/>
      <c r="C181" s="25"/>
      <c r="D181" s="25"/>
      <c r="E181" s="24"/>
      <c r="F181" s="10"/>
      <c r="G181" s="21"/>
    </row>
    <row r="182" spans="1:7" ht="14" customHeight="1">
      <c r="A182" s="110"/>
      <c r="B182" s="111"/>
      <c r="C182" s="25"/>
      <c r="D182" s="25"/>
      <c r="E182" s="24"/>
      <c r="F182" s="10">
        <f>C182*D182*E182</f>
        <v>0</v>
      </c>
      <c r="G182" s="21">
        <f t="shared" ref="G182:G183" si="16">F182*$I$97</f>
        <v>0</v>
      </c>
    </row>
    <row r="183" spans="1:7" ht="14" customHeight="1">
      <c r="A183" s="110"/>
      <c r="B183" s="111"/>
      <c r="C183" s="25"/>
      <c r="D183" s="25"/>
      <c r="E183" s="24"/>
      <c r="F183" s="10">
        <f>C183*D183*E183</f>
        <v>0</v>
      </c>
      <c r="G183" s="21">
        <f t="shared" si="16"/>
        <v>0</v>
      </c>
    </row>
    <row r="184" spans="1:7" ht="14" customHeight="1">
      <c r="A184" s="113" t="s">
        <v>43</v>
      </c>
      <c r="B184" s="114"/>
      <c r="C184" s="25"/>
      <c r="D184" s="25"/>
      <c r="E184" s="24"/>
      <c r="F184" s="10"/>
      <c r="G184" s="21"/>
    </row>
    <row r="185" spans="1:7" ht="14" customHeight="1">
      <c r="A185" s="110" t="s">
        <v>171</v>
      </c>
      <c r="B185" s="111"/>
      <c r="C185" s="25"/>
      <c r="D185" s="25"/>
      <c r="E185" s="24"/>
      <c r="F185" s="10">
        <f>C185*D185*E185</f>
        <v>0</v>
      </c>
      <c r="G185" s="21">
        <f t="shared" ref="G185:G186" si="17">F185*$I$97</f>
        <v>0</v>
      </c>
    </row>
    <row r="186" spans="1:7" ht="14" customHeight="1">
      <c r="A186" s="110" t="s">
        <v>266</v>
      </c>
      <c r="B186" s="111"/>
      <c r="C186" s="25"/>
      <c r="D186" s="25"/>
      <c r="E186" s="24"/>
      <c r="F186" s="10">
        <f>C186*D186*E186</f>
        <v>0</v>
      </c>
      <c r="G186" s="21">
        <f t="shared" si="17"/>
        <v>0</v>
      </c>
    </row>
    <row r="187" spans="1:7" ht="14" customHeight="1">
      <c r="A187" s="113" t="s">
        <v>44</v>
      </c>
      <c r="B187" s="114"/>
      <c r="C187" s="25"/>
      <c r="D187" s="25"/>
      <c r="E187" s="24"/>
      <c r="F187" s="10"/>
      <c r="G187" s="21"/>
    </row>
    <row r="188" spans="1:7" ht="14" customHeight="1">
      <c r="A188" s="110" t="s">
        <v>45</v>
      </c>
      <c r="B188" s="111"/>
      <c r="C188" s="25"/>
      <c r="D188" s="25"/>
      <c r="E188" s="24"/>
      <c r="F188" s="10">
        <f>C188*D188*E188</f>
        <v>0</v>
      </c>
      <c r="G188" s="21">
        <f>F188*$I$97</f>
        <v>0</v>
      </c>
    </row>
    <row r="189" spans="1:7" ht="14" customHeight="1">
      <c r="A189" s="110"/>
      <c r="B189" s="111"/>
      <c r="C189" s="25"/>
      <c r="D189" s="25"/>
      <c r="E189" s="24"/>
      <c r="F189" s="11">
        <f>SUM(F170:F188)</f>
        <v>0</v>
      </c>
      <c r="G189" s="22">
        <f>SUM(G170:G188)</f>
        <v>0</v>
      </c>
    </row>
    <row r="190" spans="1:7" ht="14" customHeight="1">
      <c r="A190" s="112" t="s">
        <v>46</v>
      </c>
      <c r="B190" s="112"/>
      <c r="C190" s="5"/>
      <c r="D190" s="5"/>
      <c r="E190" s="5"/>
      <c r="F190" s="5"/>
      <c r="G190" s="23"/>
    </row>
    <row r="191" spans="1:7" ht="14" customHeight="1">
      <c r="A191" s="110" t="s">
        <v>248</v>
      </c>
      <c r="B191" s="111"/>
      <c r="C191" s="25"/>
      <c r="D191" s="25"/>
      <c r="E191" s="24"/>
      <c r="F191" s="10">
        <f t="shared" ref="F191:F198" si="18">C191*D191*E191</f>
        <v>0</v>
      </c>
      <c r="G191" s="21">
        <f t="shared" ref="G191:G198" si="19">F191*$I$97</f>
        <v>0</v>
      </c>
    </row>
    <row r="192" spans="1:7" ht="14" customHeight="1">
      <c r="A192" s="110" t="s">
        <v>249</v>
      </c>
      <c r="B192" s="111"/>
      <c r="C192" s="25"/>
      <c r="D192" s="25"/>
      <c r="E192" s="24"/>
      <c r="F192" s="10">
        <f t="shared" si="18"/>
        <v>0</v>
      </c>
      <c r="G192" s="21">
        <f t="shared" si="19"/>
        <v>0</v>
      </c>
    </row>
    <row r="193" spans="1:7" ht="14" customHeight="1">
      <c r="A193" s="82" t="s">
        <v>260</v>
      </c>
      <c r="B193" s="82"/>
      <c r="C193" s="25"/>
      <c r="D193" s="25"/>
      <c r="E193" s="24"/>
      <c r="F193" s="10">
        <f t="shared" si="18"/>
        <v>0</v>
      </c>
      <c r="G193" s="21">
        <f t="shared" si="19"/>
        <v>0</v>
      </c>
    </row>
    <row r="194" spans="1:7" ht="14" customHeight="1">
      <c r="A194" s="110" t="s">
        <v>172</v>
      </c>
      <c r="B194" s="111"/>
      <c r="C194" s="25"/>
      <c r="D194" s="25"/>
      <c r="E194" s="24"/>
      <c r="F194" s="10">
        <f t="shared" si="18"/>
        <v>0</v>
      </c>
      <c r="G194" s="21">
        <f t="shared" si="19"/>
        <v>0</v>
      </c>
    </row>
    <row r="195" spans="1:7" ht="14" customHeight="1">
      <c r="A195" s="110" t="s">
        <v>236</v>
      </c>
      <c r="B195" s="111"/>
      <c r="C195" s="25"/>
      <c r="D195" s="25"/>
      <c r="E195" s="24"/>
      <c r="F195" s="10">
        <f t="shared" si="18"/>
        <v>0</v>
      </c>
      <c r="G195" s="21">
        <f t="shared" si="19"/>
        <v>0</v>
      </c>
    </row>
    <row r="196" spans="1:7" ht="14" customHeight="1">
      <c r="A196" s="110" t="s">
        <v>173</v>
      </c>
      <c r="B196" s="111"/>
      <c r="C196" s="25"/>
      <c r="D196" s="25"/>
      <c r="E196" s="24"/>
      <c r="F196" s="10">
        <f t="shared" si="18"/>
        <v>0</v>
      </c>
      <c r="G196" s="21">
        <f t="shared" si="19"/>
        <v>0</v>
      </c>
    </row>
    <row r="197" spans="1:7" ht="14" customHeight="1">
      <c r="A197" s="110" t="s">
        <v>47</v>
      </c>
      <c r="B197" s="111"/>
      <c r="C197" s="25"/>
      <c r="D197" s="25"/>
      <c r="E197" s="24"/>
      <c r="F197" s="10">
        <f t="shared" si="18"/>
        <v>0</v>
      </c>
      <c r="G197" s="21">
        <f t="shared" si="19"/>
        <v>0</v>
      </c>
    </row>
    <row r="198" spans="1:7" ht="14" customHeight="1">
      <c r="A198" s="110" t="s">
        <v>174</v>
      </c>
      <c r="B198" s="111"/>
      <c r="C198" s="25"/>
      <c r="D198" s="25"/>
      <c r="E198" s="24"/>
      <c r="F198" s="10">
        <f t="shared" si="18"/>
        <v>0</v>
      </c>
      <c r="G198" s="21">
        <f t="shared" si="19"/>
        <v>0</v>
      </c>
    </row>
    <row r="199" spans="1:7" ht="14" customHeight="1">
      <c r="A199" s="110"/>
      <c r="B199" s="111"/>
      <c r="C199" s="25"/>
      <c r="D199" s="25"/>
      <c r="E199" s="24"/>
      <c r="F199" s="11">
        <f>SUM(F191:F198)</f>
        <v>0</v>
      </c>
      <c r="G199" s="22">
        <f>SUM(G191:G198)</f>
        <v>0</v>
      </c>
    </row>
    <row r="200" spans="1:7" ht="14" customHeight="1">
      <c r="A200" s="112" t="s">
        <v>48</v>
      </c>
      <c r="B200" s="112"/>
      <c r="C200" s="5"/>
      <c r="D200" s="5"/>
      <c r="E200" s="5"/>
      <c r="F200" s="5"/>
      <c r="G200" s="23"/>
    </row>
    <row r="201" spans="1:7" ht="14" customHeight="1">
      <c r="A201" s="110" t="s">
        <v>49</v>
      </c>
      <c r="B201" s="111"/>
      <c r="C201" s="25"/>
      <c r="D201" s="25"/>
      <c r="E201" s="24"/>
      <c r="F201" s="10">
        <f t="shared" ref="F201:F208" si="20">C201*D201*E201</f>
        <v>0</v>
      </c>
      <c r="G201" s="21">
        <f t="shared" ref="G201:G208" si="21">F201*$I$97</f>
        <v>0</v>
      </c>
    </row>
    <row r="202" spans="1:7" ht="14" customHeight="1">
      <c r="A202" s="110" t="s">
        <v>50</v>
      </c>
      <c r="B202" s="111"/>
      <c r="C202" s="25"/>
      <c r="D202" s="25"/>
      <c r="E202" s="24"/>
      <c r="F202" s="10">
        <f t="shared" si="20"/>
        <v>0</v>
      </c>
      <c r="G202" s="21">
        <f t="shared" si="21"/>
        <v>0</v>
      </c>
    </row>
    <row r="203" spans="1:7" ht="14" customHeight="1">
      <c r="A203" s="110" t="s">
        <v>51</v>
      </c>
      <c r="B203" s="111"/>
      <c r="C203" s="25"/>
      <c r="D203" s="25"/>
      <c r="E203" s="24"/>
      <c r="F203" s="10">
        <f t="shared" si="20"/>
        <v>0</v>
      </c>
      <c r="G203" s="21">
        <f t="shared" si="21"/>
        <v>0</v>
      </c>
    </row>
    <row r="204" spans="1:7" ht="14" customHeight="1">
      <c r="A204" s="110" t="s">
        <v>237</v>
      </c>
      <c r="B204" s="111"/>
      <c r="C204" s="25"/>
      <c r="D204" s="25"/>
      <c r="E204" s="24"/>
      <c r="F204" s="10">
        <f t="shared" si="20"/>
        <v>0</v>
      </c>
      <c r="G204" s="21">
        <f t="shared" si="21"/>
        <v>0</v>
      </c>
    </row>
    <row r="205" spans="1:7" ht="14" customHeight="1">
      <c r="A205" s="110" t="s">
        <v>52</v>
      </c>
      <c r="B205" s="111"/>
      <c r="C205" s="25"/>
      <c r="D205" s="25"/>
      <c r="E205" s="24"/>
      <c r="F205" s="10">
        <f t="shared" si="20"/>
        <v>0</v>
      </c>
      <c r="G205" s="21">
        <f t="shared" si="21"/>
        <v>0</v>
      </c>
    </row>
    <row r="206" spans="1:7" ht="14" customHeight="1">
      <c r="A206" s="110" t="s">
        <v>238</v>
      </c>
      <c r="B206" s="111"/>
      <c r="C206" s="25"/>
      <c r="D206" s="25"/>
      <c r="E206" s="24"/>
      <c r="F206" s="10">
        <f t="shared" si="20"/>
        <v>0</v>
      </c>
      <c r="G206" s="21">
        <f t="shared" si="21"/>
        <v>0</v>
      </c>
    </row>
    <row r="207" spans="1:7" ht="14" customHeight="1">
      <c r="A207" s="110" t="s">
        <v>239</v>
      </c>
      <c r="B207" s="111"/>
      <c r="C207" s="25"/>
      <c r="D207" s="25"/>
      <c r="E207" s="24"/>
      <c r="F207" s="10">
        <f t="shared" si="20"/>
        <v>0</v>
      </c>
      <c r="G207" s="21">
        <f t="shared" si="21"/>
        <v>0</v>
      </c>
    </row>
    <row r="208" spans="1:7" ht="14" customHeight="1">
      <c r="A208" s="110" t="s">
        <v>240</v>
      </c>
      <c r="B208" s="111"/>
      <c r="C208" s="25"/>
      <c r="D208" s="25"/>
      <c r="E208" s="24"/>
      <c r="F208" s="10">
        <f t="shared" si="20"/>
        <v>0</v>
      </c>
      <c r="G208" s="21">
        <f t="shared" si="21"/>
        <v>0</v>
      </c>
    </row>
    <row r="209" spans="1:7" ht="14" customHeight="1">
      <c r="A209" s="110"/>
      <c r="B209" s="111"/>
      <c r="C209" s="25"/>
      <c r="D209" s="25"/>
      <c r="E209" s="24"/>
      <c r="F209" s="11">
        <f>SUM(F201:F208)</f>
        <v>0</v>
      </c>
      <c r="G209" s="22">
        <f>SUM(G201:G208)</f>
        <v>0</v>
      </c>
    </row>
    <row r="210" spans="1:7" ht="14" customHeight="1">
      <c r="A210" s="112" t="s">
        <v>53</v>
      </c>
      <c r="B210" s="112"/>
      <c r="C210" s="5"/>
      <c r="D210" s="5"/>
      <c r="E210" s="5"/>
      <c r="F210" s="5"/>
      <c r="G210" s="23"/>
    </row>
    <row r="211" spans="1:7" ht="14" customHeight="1">
      <c r="A211" s="110" t="s">
        <v>296</v>
      </c>
      <c r="B211" s="111"/>
      <c r="C211" s="25"/>
      <c r="D211" s="25"/>
      <c r="E211" s="24"/>
      <c r="F211" s="10">
        <f>C211*D211*E211</f>
        <v>0</v>
      </c>
      <c r="G211" s="21">
        <f t="shared" ref="G211:G214" si="22">F211*$I$97</f>
        <v>0</v>
      </c>
    </row>
    <row r="212" spans="1:7" ht="14" customHeight="1">
      <c r="A212" s="83"/>
      <c r="B212" s="84"/>
      <c r="C212" s="25"/>
      <c r="D212" s="25"/>
      <c r="E212" s="24"/>
      <c r="F212" s="10">
        <f>C212*D212*E212</f>
        <v>0</v>
      </c>
      <c r="G212" s="21">
        <f t="shared" si="22"/>
        <v>0</v>
      </c>
    </row>
    <row r="213" spans="1:7" ht="14" customHeight="1">
      <c r="A213" s="110" t="s">
        <v>175</v>
      </c>
      <c r="B213" s="111"/>
      <c r="C213" s="25"/>
      <c r="D213" s="25"/>
      <c r="E213" s="24"/>
      <c r="F213" s="10">
        <f>C213*D213*E213</f>
        <v>0</v>
      </c>
      <c r="G213" s="21">
        <f t="shared" si="22"/>
        <v>0</v>
      </c>
    </row>
    <row r="214" spans="1:7" ht="14" customHeight="1">
      <c r="A214" s="110" t="s">
        <v>176</v>
      </c>
      <c r="B214" s="111"/>
      <c r="C214" s="25"/>
      <c r="D214" s="25"/>
      <c r="E214" s="24"/>
      <c r="F214" s="10">
        <f>C214*D214*E214</f>
        <v>0</v>
      </c>
      <c r="G214" s="21">
        <f t="shared" si="22"/>
        <v>0</v>
      </c>
    </row>
    <row r="215" spans="1:7" ht="14" customHeight="1">
      <c r="A215" s="110"/>
      <c r="B215" s="111"/>
      <c r="C215" s="25"/>
      <c r="D215" s="25"/>
      <c r="E215" s="24"/>
      <c r="F215" s="11">
        <f>SUM(F211:F214)</f>
        <v>0</v>
      </c>
      <c r="G215" s="22">
        <f>F215*I97</f>
        <v>0</v>
      </c>
    </row>
    <row r="216" spans="1:7" ht="14" customHeight="1">
      <c r="A216" s="112" t="s">
        <v>54</v>
      </c>
      <c r="B216" s="112"/>
      <c r="C216" s="5"/>
      <c r="D216" s="5"/>
      <c r="E216" s="5"/>
      <c r="F216" s="5"/>
      <c r="G216" s="23"/>
    </row>
    <row r="217" spans="1:7" ht="14" customHeight="1">
      <c r="A217" s="110" t="s">
        <v>177</v>
      </c>
      <c r="B217" s="111"/>
      <c r="C217" s="25"/>
      <c r="D217" s="25"/>
      <c r="E217" s="24"/>
      <c r="F217" s="10">
        <f>C217*D217*E217</f>
        <v>0</v>
      </c>
      <c r="G217" s="21">
        <f t="shared" ref="G217:G221" si="23">F217*$I$97</f>
        <v>0</v>
      </c>
    </row>
    <row r="218" spans="1:7" ht="14" customHeight="1">
      <c r="A218" s="110" t="s">
        <v>250</v>
      </c>
      <c r="B218" s="111"/>
      <c r="C218" s="25"/>
      <c r="D218" s="25"/>
      <c r="E218" s="24"/>
      <c r="F218" s="10">
        <f>C218*D218*E218</f>
        <v>0</v>
      </c>
      <c r="G218" s="21">
        <f t="shared" si="23"/>
        <v>0</v>
      </c>
    </row>
    <row r="219" spans="1:7" ht="14" customHeight="1">
      <c r="A219" s="110" t="s">
        <v>256</v>
      </c>
      <c r="B219" s="111"/>
      <c r="C219" s="25"/>
      <c r="D219" s="25"/>
      <c r="E219" s="24"/>
      <c r="F219" s="10">
        <f>C219*D219*E219</f>
        <v>0</v>
      </c>
      <c r="G219" s="21">
        <f t="shared" si="23"/>
        <v>0</v>
      </c>
    </row>
    <row r="220" spans="1:7" ht="14" customHeight="1">
      <c r="A220" s="110" t="s">
        <v>55</v>
      </c>
      <c r="B220" s="111"/>
      <c r="C220" s="25"/>
      <c r="D220" s="25"/>
      <c r="E220" s="24"/>
      <c r="F220" s="10">
        <f>C220*D220*E220</f>
        <v>0</v>
      </c>
      <c r="G220" s="21">
        <f t="shared" si="23"/>
        <v>0</v>
      </c>
    </row>
    <row r="221" spans="1:7" ht="14" customHeight="1">
      <c r="A221" s="110" t="s">
        <v>56</v>
      </c>
      <c r="B221" s="111"/>
      <c r="C221" s="25"/>
      <c r="D221" s="25"/>
      <c r="E221" s="24"/>
      <c r="F221" s="10">
        <f>C221*D221*E221</f>
        <v>0</v>
      </c>
      <c r="G221" s="21">
        <f t="shared" si="23"/>
        <v>0</v>
      </c>
    </row>
    <row r="222" spans="1:7" ht="14" customHeight="1">
      <c r="A222" s="110"/>
      <c r="B222" s="111"/>
      <c r="C222" s="25"/>
      <c r="D222" s="25"/>
      <c r="E222" s="24"/>
      <c r="F222" s="11">
        <f>SUM(F217:F221)</f>
        <v>0</v>
      </c>
      <c r="G222" s="22">
        <f>SUM(G217:G221)</f>
        <v>0</v>
      </c>
    </row>
    <row r="223" spans="1:7" ht="14" customHeight="1">
      <c r="A223" s="112" t="s">
        <v>57</v>
      </c>
      <c r="B223" s="112"/>
      <c r="C223" s="5"/>
      <c r="D223" s="5"/>
      <c r="E223" s="5"/>
      <c r="F223" s="5"/>
      <c r="G223" s="23"/>
    </row>
    <row r="224" spans="1:7" ht="14" customHeight="1">
      <c r="A224" s="110" t="s">
        <v>178</v>
      </c>
      <c r="B224" s="111"/>
      <c r="C224" s="25"/>
      <c r="D224" s="25"/>
      <c r="E224" s="24"/>
      <c r="F224" s="10">
        <f t="shared" ref="F224:F233" si="24">C224*D224*E224</f>
        <v>0</v>
      </c>
      <c r="G224" s="21">
        <f t="shared" ref="G224:G233" si="25">F224*$I$97</f>
        <v>0</v>
      </c>
    </row>
    <row r="225" spans="1:7" ht="14" customHeight="1">
      <c r="A225" s="110" t="s">
        <v>58</v>
      </c>
      <c r="B225" s="111"/>
      <c r="C225" s="25"/>
      <c r="D225" s="25"/>
      <c r="E225" s="24"/>
      <c r="F225" s="10">
        <f t="shared" si="24"/>
        <v>0</v>
      </c>
      <c r="G225" s="21">
        <f t="shared" si="25"/>
        <v>0</v>
      </c>
    </row>
    <row r="226" spans="1:7" ht="14" customHeight="1">
      <c r="A226" s="110" t="s">
        <v>196</v>
      </c>
      <c r="B226" s="111"/>
      <c r="C226" s="25"/>
      <c r="D226" s="25"/>
      <c r="E226" s="24"/>
      <c r="F226" s="10">
        <f t="shared" si="24"/>
        <v>0</v>
      </c>
      <c r="G226" s="21">
        <f t="shared" si="25"/>
        <v>0</v>
      </c>
    </row>
    <row r="227" spans="1:7" ht="14" customHeight="1">
      <c r="A227" s="110" t="s">
        <v>197</v>
      </c>
      <c r="B227" s="111"/>
      <c r="C227" s="25">
        <v>0</v>
      </c>
      <c r="D227" s="25"/>
      <c r="E227" s="24"/>
      <c r="F227" s="10">
        <f t="shared" si="24"/>
        <v>0</v>
      </c>
      <c r="G227" s="21">
        <f t="shared" si="25"/>
        <v>0</v>
      </c>
    </row>
    <row r="228" spans="1:7" ht="14" customHeight="1">
      <c r="A228" s="110" t="s">
        <v>198</v>
      </c>
      <c r="B228" s="111"/>
      <c r="C228" s="25"/>
      <c r="D228" s="25"/>
      <c r="E228" s="24"/>
      <c r="F228" s="10">
        <f t="shared" si="24"/>
        <v>0</v>
      </c>
      <c r="G228" s="21">
        <f t="shared" si="25"/>
        <v>0</v>
      </c>
    </row>
    <row r="229" spans="1:7" ht="14" customHeight="1">
      <c r="A229" s="110" t="s">
        <v>199</v>
      </c>
      <c r="B229" s="111"/>
      <c r="C229" s="25"/>
      <c r="D229" s="25"/>
      <c r="E229" s="24"/>
      <c r="F229" s="10">
        <f t="shared" si="24"/>
        <v>0</v>
      </c>
      <c r="G229" s="21">
        <f t="shared" si="25"/>
        <v>0</v>
      </c>
    </row>
    <row r="230" spans="1:7" ht="14" customHeight="1">
      <c r="A230" s="110" t="s">
        <v>200</v>
      </c>
      <c r="B230" s="111"/>
      <c r="C230" s="25"/>
      <c r="D230" s="25"/>
      <c r="E230" s="24"/>
      <c r="F230" s="10">
        <f t="shared" si="24"/>
        <v>0</v>
      </c>
      <c r="G230" s="21">
        <f t="shared" si="25"/>
        <v>0</v>
      </c>
    </row>
    <row r="231" spans="1:7" ht="14" customHeight="1">
      <c r="A231" s="110" t="s">
        <v>201</v>
      </c>
      <c r="B231" s="111"/>
      <c r="C231" s="25"/>
      <c r="D231" s="25"/>
      <c r="E231" s="24"/>
      <c r="F231" s="10">
        <f t="shared" si="24"/>
        <v>0</v>
      </c>
      <c r="G231" s="21">
        <f t="shared" si="25"/>
        <v>0</v>
      </c>
    </row>
    <row r="232" spans="1:7" ht="14" customHeight="1">
      <c r="A232" s="110" t="s">
        <v>202</v>
      </c>
      <c r="B232" s="111"/>
      <c r="C232" s="25"/>
      <c r="D232" s="25"/>
      <c r="E232" s="24"/>
      <c r="F232" s="10">
        <f t="shared" si="24"/>
        <v>0</v>
      </c>
      <c r="G232" s="21">
        <f t="shared" si="25"/>
        <v>0</v>
      </c>
    </row>
    <row r="233" spans="1:7" ht="14" customHeight="1">
      <c r="A233" s="110"/>
      <c r="B233" s="111"/>
      <c r="C233" s="25"/>
      <c r="D233" s="25"/>
      <c r="E233" s="24"/>
      <c r="F233" s="10">
        <f t="shared" si="24"/>
        <v>0</v>
      </c>
      <c r="G233" s="21">
        <f t="shared" si="25"/>
        <v>0</v>
      </c>
    </row>
    <row r="234" spans="1:7" ht="14" customHeight="1">
      <c r="A234" s="110"/>
      <c r="B234" s="111"/>
      <c r="C234" s="25"/>
      <c r="D234" s="25"/>
      <c r="E234" s="24"/>
      <c r="F234" s="11">
        <f>SUM(F224:F233)</f>
        <v>0</v>
      </c>
      <c r="G234" s="22">
        <f>SUM(G224:G233)</f>
        <v>0</v>
      </c>
    </row>
    <row r="235" spans="1:7" ht="14" customHeight="1">
      <c r="A235" s="146" t="s">
        <v>210</v>
      </c>
      <c r="B235" s="146"/>
      <c r="C235" s="5"/>
      <c r="D235" s="5"/>
      <c r="E235" s="5"/>
      <c r="F235" s="5"/>
      <c r="G235" s="23"/>
    </row>
    <row r="236" spans="1:7" ht="14" customHeight="1">
      <c r="A236" s="113" t="s">
        <v>62</v>
      </c>
      <c r="B236" s="114"/>
      <c r="C236" s="25"/>
      <c r="D236" s="25"/>
      <c r="E236" s="24"/>
      <c r="F236" s="10"/>
      <c r="G236" s="21"/>
    </row>
    <row r="237" spans="1:7" ht="14" customHeight="1">
      <c r="A237" s="110" t="s">
        <v>265</v>
      </c>
      <c r="B237" s="111"/>
      <c r="C237" s="25"/>
      <c r="D237" s="25"/>
      <c r="E237" s="24"/>
      <c r="F237" s="10">
        <f>C237*D237*E237</f>
        <v>0</v>
      </c>
      <c r="G237" s="21">
        <f t="shared" ref="G237:G249" si="26">F237*$I$97</f>
        <v>0</v>
      </c>
    </row>
    <row r="238" spans="1:7" ht="14" customHeight="1">
      <c r="A238" s="110" t="s">
        <v>283</v>
      </c>
      <c r="B238" s="111"/>
      <c r="C238" s="25">
        <v>0</v>
      </c>
      <c r="D238" s="25">
        <v>1</v>
      </c>
      <c r="E238" s="24">
        <v>0</v>
      </c>
      <c r="F238" s="10">
        <f>C238*D238*E238</f>
        <v>0</v>
      </c>
      <c r="G238" s="21">
        <f t="shared" si="26"/>
        <v>0</v>
      </c>
    </row>
    <row r="239" spans="1:7" ht="14" hidden="1" customHeight="1">
      <c r="A239" s="110" t="s">
        <v>243</v>
      </c>
      <c r="B239" s="111"/>
      <c r="C239" s="25"/>
      <c r="D239" s="25"/>
      <c r="E239" s="24"/>
      <c r="F239" s="10">
        <f>C239*D239*E239</f>
        <v>0</v>
      </c>
      <c r="G239" s="21">
        <f t="shared" si="26"/>
        <v>0</v>
      </c>
    </row>
    <row r="240" spans="1:7" ht="14" customHeight="1">
      <c r="A240" s="110" t="s">
        <v>203</v>
      </c>
      <c r="B240" s="111"/>
      <c r="C240" s="25"/>
      <c r="D240" s="25"/>
      <c r="E240" s="24"/>
      <c r="F240" s="10">
        <f>C240*D240*E240</f>
        <v>0</v>
      </c>
      <c r="G240" s="21">
        <f t="shared" si="26"/>
        <v>0</v>
      </c>
    </row>
    <row r="241" spans="1:7" ht="14" customHeight="1">
      <c r="A241" s="110" t="s">
        <v>204</v>
      </c>
      <c r="B241" s="111"/>
      <c r="C241" s="25"/>
      <c r="D241" s="25"/>
      <c r="E241" s="24"/>
      <c r="F241" s="10">
        <f>C241*D241*E241</f>
        <v>0</v>
      </c>
      <c r="G241" s="21">
        <f t="shared" si="26"/>
        <v>0</v>
      </c>
    </row>
    <row r="242" spans="1:7" ht="14" customHeight="1">
      <c r="A242" s="113" t="s">
        <v>205</v>
      </c>
      <c r="B242" s="114"/>
      <c r="C242" s="25"/>
      <c r="D242" s="25"/>
      <c r="E242" s="24"/>
      <c r="F242" s="10"/>
      <c r="G242" s="21">
        <f t="shared" si="26"/>
        <v>0</v>
      </c>
    </row>
    <row r="243" spans="1:7" ht="14" customHeight="1">
      <c r="A243" s="110" t="s">
        <v>281</v>
      </c>
      <c r="B243" s="111"/>
      <c r="C243" s="25">
        <v>0</v>
      </c>
      <c r="D243" s="25">
        <v>0</v>
      </c>
      <c r="E243" s="24">
        <v>0</v>
      </c>
      <c r="F243" s="10">
        <f t="shared" ref="F243:F248" si="27">C243*D243*E243</f>
        <v>0</v>
      </c>
      <c r="G243" s="21">
        <f t="shared" si="26"/>
        <v>0</v>
      </c>
    </row>
    <row r="244" spans="1:7" ht="14" customHeight="1">
      <c r="A244" s="110" t="s">
        <v>282</v>
      </c>
      <c r="B244" s="111"/>
      <c r="C244" s="25">
        <v>0</v>
      </c>
      <c r="D244" s="25">
        <v>0</v>
      </c>
      <c r="E244" s="24">
        <v>0</v>
      </c>
      <c r="F244" s="10">
        <f t="shared" si="27"/>
        <v>0</v>
      </c>
      <c r="G244" s="21">
        <f t="shared" si="26"/>
        <v>0</v>
      </c>
    </row>
    <row r="245" spans="1:7" ht="14" hidden="1" customHeight="1">
      <c r="A245" s="110" t="s">
        <v>206</v>
      </c>
      <c r="B245" s="111"/>
      <c r="C245" s="25"/>
      <c r="D245" s="25"/>
      <c r="E245" s="24"/>
      <c r="F245" s="10">
        <f t="shared" si="27"/>
        <v>0</v>
      </c>
      <c r="G245" s="21">
        <f t="shared" si="26"/>
        <v>0</v>
      </c>
    </row>
    <row r="246" spans="1:7" ht="14" hidden="1" customHeight="1">
      <c r="A246" s="110" t="s">
        <v>207</v>
      </c>
      <c r="B246" s="111"/>
      <c r="C246" s="25"/>
      <c r="D246" s="25"/>
      <c r="E246" s="24"/>
      <c r="F246" s="10">
        <f t="shared" si="27"/>
        <v>0</v>
      </c>
      <c r="G246" s="21">
        <f t="shared" si="26"/>
        <v>0</v>
      </c>
    </row>
    <row r="247" spans="1:7" ht="14" hidden="1" customHeight="1">
      <c r="A247" s="110" t="s">
        <v>208</v>
      </c>
      <c r="B247" s="111"/>
      <c r="C247" s="25"/>
      <c r="D247" s="25"/>
      <c r="E247" s="24"/>
      <c r="F247" s="10">
        <f t="shared" si="27"/>
        <v>0</v>
      </c>
      <c r="G247" s="21">
        <f t="shared" si="26"/>
        <v>0</v>
      </c>
    </row>
    <row r="248" spans="1:7" ht="14" hidden="1" customHeight="1">
      <c r="A248" s="110" t="s">
        <v>209</v>
      </c>
      <c r="B248" s="111"/>
      <c r="C248" s="25"/>
      <c r="D248" s="25"/>
      <c r="E248" s="24"/>
      <c r="F248" s="10">
        <f t="shared" si="27"/>
        <v>0</v>
      </c>
      <c r="G248" s="21">
        <f t="shared" si="26"/>
        <v>0</v>
      </c>
    </row>
    <row r="249" spans="1:7" ht="14" customHeight="1">
      <c r="A249" s="110"/>
      <c r="B249" s="111"/>
      <c r="C249" s="25"/>
      <c r="D249" s="25"/>
      <c r="E249" s="24"/>
      <c r="F249" s="10">
        <f>C249*D249*E249</f>
        <v>0</v>
      </c>
      <c r="G249" s="21">
        <f t="shared" si="26"/>
        <v>0</v>
      </c>
    </row>
    <row r="250" spans="1:7" ht="14" customHeight="1">
      <c r="A250" s="110"/>
      <c r="B250" s="111"/>
      <c r="C250" s="25"/>
      <c r="D250" s="25"/>
      <c r="E250" s="24"/>
      <c r="F250" s="11">
        <f>SUM(F236:F249)</f>
        <v>0</v>
      </c>
      <c r="G250" s="22">
        <f>SUM(G236:G249)</f>
        <v>0</v>
      </c>
    </row>
    <row r="251" spans="1:7" ht="14" customHeight="1">
      <c r="A251" s="112" t="s">
        <v>63</v>
      </c>
      <c r="B251" s="112"/>
      <c r="C251" s="5"/>
      <c r="D251" s="5"/>
      <c r="E251" s="5"/>
      <c r="F251" s="5"/>
      <c r="G251" s="23"/>
    </row>
    <row r="252" spans="1:7" ht="14" customHeight="1">
      <c r="A252" s="110" t="s">
        <v>64</v>
      </c>
      <c r="B252" s="111"/>
      <c r="C252" s="25">
        <v>1</v>
      </c>
      <c r="D252" s="25">
        <v>1</v>
      </c>
      <c r="E252" s="24">
        <v>0</v>
      </c>
      <c r="F252" s="10">
        <f>C252*D252*E252</f>
        <v>0</v>
      </c>
      <c r="G252" s="21">
        <f>F252*$I$97</f>
        <v>0</v>
      </c>
    </row>
    <row r="253" spans="1:7" ht="14" customHeight="1">
      <c r="A253" s="110"/>
      <c r="B253" s="111"/>
      <c r="C253" s="25"/>
      <c r="D253" s="25"/>
      <c r="E253" s="24"/>
      <c r="F253" s="11">
        <f>SUM(F252)</f>
        <v>0</v>
      </c>
      <c r="G253" s="22">
        <f>SUM(G252)</f>
        <v>0</v>
      </c>
    </row>
    <row r="254" spans="1:7" ht="14" customHeight="1">
      <c r="A254" s="146" t="s">
        <v>68</v>
      </c>
      <c r="B254" s="146"/>
      <c r="C254" s="5"/>
      <c r="D254" s="5"/>
      <c r="E254" s="5"/>
      <c r="F254" s="5"/>
      <c r="G254" s="23"/>
    </row>
    <row r="255" spans="1:7" ht="14" customHeight="1">
      <c r="A255" s="110" t="s">
        <v>65</v>
      </c>
      <c r="B255" s="111"/>
      <c r="C255" s="9"/>
      <c r="D255" s="9"/>
      <c r="E255" s="9"/>
      <c r="F255" s="11">
        <f>SUM(F131+F152+F168+F189+F199+F209+F215+F222+F234+F250+F253)</f>
        <v>0</v>
      </c>
      <c r="G255" s="21">
        <f>F255*$I$97</f>
        <v>0</v>
      </c>
    </row>
    <row r="256" spans="1:7" ht="14" customHeight="1">
      <c r="A256" s="110" t="s">
        <v>66</v>
      </c>
      <c r="B256" s="111"/>
      <c r="C256" s="12">
        <v>0.04</v>
      </c>
      <c r="D256" s="9"/>
      <c r="E256" s="9"/>
      <c r="F256" s="11">
        <f>F255*C256</f>
        <v>0</v>
      </c>
      <c r="G256" s="21">
        <f>F256*$I$97</f>
        <v>0</v>
      </c>
    </row>
    <row r="257" spans="1:7" ht="14" customHeight="1">
      <c r="A257" s="148" t="s">
        <v>22</v>
      </c>
      <c r="B257" s="148"/>
      <c r="C257" s="5"/>
      <c r="D257" s="5"/>
      <c r="E257" s="5"/>
      <c r="F257" s="5"/>
      <c r="G257" s="23"/>
    </row>
    <row r="258" spans="1:7" ht="14" customHeight="1">
      <c r="A258" s="147" t="s">
        <v>67</v>
      </c>
      <c r="B258" s="147"/>
      <c r="C258" s="4"/>
      <c r="D258" s="4"/>
      <c r="E258" s="4"/>
      <c r="F258" s="13">
        <f>SUM(F255:F256)</f>
        <v>0</v>
      </c>
      <c r="G258" s="74">
        <f>F258*I97</f>
        <v>0</v>
      </c>
    </row>
    <row r="259" spans="1:7" ht="14" customHeight="1">
      <c r="A259" s="147"/>
      <c r="B259" s="147"/>
      <c r="C259" s="4"/>
      <c r="D259" s="4"/>
      <c r="E259" s="4"/>
      <c r="F259" s="7"/>
      <c r="G259" s="15"/>
    </row>
    <row r="260" spans="1:7" ht="14" customHeight="1">
      <c r="A260" s="147"/>
      <c r="B260" s="147"/>
      <c r="C260" s="4"/>
      <c r="D260" s="4"/>
      <c r="E260" s="4"/>
      <c r="F260" s="7"/>
      <c r="G260" s="4"/>
    </row>
    <row r="261" spans="1:7" ht="14" customHeight="1">
      <c r="A261" s="147"/>
      <c r="B261" s="147"/>
      <c r="C261" s="4"/>
      <c r="D261" s="4"/>
      <c r="E261" s="4"/>
      <c r="F261" s="7"/>
      <c r="G261" s="4"/>
    </row>
    <row r="262" spans="1:7" ht="14" customHeight="1">
      <c r="A262" s="147"/>
      <c r="B262" s="147"/>
      <c r="C262" s="4"/>
      <c r="D262" s="4"/>
      <c r="E262" s="4"/>
      <c r="F262" s="7"/>
      <c r="G262" s="4"/>
    </row>
    <row r="263" spans="1:7" ht="14" customHeight="1">
      <c r="A263" s="147"/>
      <c r="B263" s="147"/>
      <c r="C263" s="4"/>
      <c r="D263" s="4"/>
      <c r="E263" s="4"/>
      <c r="F263" s="7"/>
      <c r="G263" s="4"/>
    </row>
    <row r="264" spans="1:7" ht="14" customHeight="1">
      <c r="A264" s="147"/>
      <c r="B264" s="147"/>
      <c r="C264" s="4"/>
      <c r="D264" s="4"/>
      <c r="E264" s="4"/>
      <c r="F264" s="7"/>
      <c r="G264" s="4"/>
    </row>
    <row r="265" spans="1:7" ht="14" customHeight="1">
      <c r="A265" s="147"/>
      <c r="B265" s="147"/>
      <c r="C265" s="4"/>
      <c r="D265" s="4"/>
      <c r="E265" s="4"/>
      <c r="F265" s="7"/>
      <c r="G265" s="4"/>
    </row>
    <row r="266" spans="1:7" ht="14" customHeight="1">
      <c r="A266" s="147"/>
      <c r="B266" s="147"/>
      <c r="C266" s="4"/>
      <c r="D266" s="4"/>
      <c r="E266" s="4"/>
      <c r="F266" s="7"/>
      <c r="G266" s="4"/>
    </row>
    <row r="267" spans="1:7" ht="14" customHeight="1">
      <c r="A267" s="147"/>
      <c r="B267" s="147"/>
      <c r="C267" s="4"/>
      <c r="D267" s="4"/>
      <c r="E267" s="4"/>
      <c r="F267" s="7"/>
      <c r="G267" s="4"/>
    </row>
    <row r="268" spans="1:7" ht="14" customHeight="1">
      <c r="A268" s="147"/>
      <c r="B268" s="147"/>
      <c r="C268" s="4"/>
      <c r="D268" s="4"/>
      <c r="E268" s="4"/>
      <c r="F268" s="7"/>
      <c r="G268" s="4"/>
    </row>
    <row r="269" spans="1:7" ht="14" customHeight="1">
      <c r="A269" s="147"/>
      <c r="B269" s="147"/>
      <c r="C269" s="4"/>
      <c r="D269" s="4"/>
      <c r="E269" s="4"/>
      <c r="F269" s="7"/>
      <c r="G269" s="4"/>
    </row>
    <row r="270" spans="1:7" ht="14" customHeight="1">
      <c r="A270" s="147"/>
      <c r="B270" s="147"/>
      <c r="C270" s="4"/>
      <c r="D270" s="4"/>
      <c r="E270" s="4"/>
      <c r="F270" s="7"/>
      <c r="G270" s="4"/>
    </row>
    <row r="271" spans="1:7" ht="14" customHeight="1">
      <c r="A271" s="147"/>
      <c r="B271" s="147"/>
      <c r="C271" s="4"/>
      <c r="D271" s="4"/>
      <c r="E271" s="4"/>
      <c r="F271" s="7"/>
      <c r="G271" s="4"/>
    </row>
    <row r="272" spans="1:7" ht="14" customHeight="1">
      <c r="A272" s="147"/>
      <c r="B272" s="147"/>
      <c r="C272" s="4"/>
      <c r="D272" s="4"/>
      <c r="E272" s="4"/>
      <c r="F272" s="7"/>
      <c r="G272" s="4"/>
    </row>
    <row r="273" spans="1:7" ht="14" customHeight="1">
      <c r="A273" s="147"/>
      <c r="B273" s="147"/>
      <c r="C273" s="4"/>
      <c r="D273" s="4"/>
      <c r="E273" s="4"/>
      <c r="F273" s="7"/>
      <c r="G273" s="4"/>
    </row>
    <row r="274" spans="1:7" ht="14" customHeight="1">
      <c r="A274" s="147"/>
      <c r="B274" s="147"/>
      <c r="C274" s="4"/>
      <c r="D274" s="4"/>
      <c r="E274" s="4"/>
      <c r="F274" s="7"/>
      <c r="G274" s="4"/>
    </row>
    <row r="275" spans="1:7" ht="14" customHeight="1">
      <c r="A275" s="147"/>
      <c r="B275" s="147"/>
      <c r="C275" s="4"/>
      <c r="D275" s="4"/>
      <c r="E275" s="4"/>
      <c r="F275" s="7"/>
      <c r="G275" s="4"/>
    </row>
    <row r="276" spans="1:7" ht="14" customHeight="1">
      <c r="A276" s="147"/>
      <c r="B276" s="147"/>
      <c r="C276" s="4"/>
      <c r="D276" s="4"/>
      <c r="E276" s="4"/>
      <c r="F276" s="7"/>
      <c r="G276" s="4"/>
    </row>
    <row r="277" spans="1:7" ht="14" customHeight="1">
      <c r="A277" s="147"/>
      <c r="B277" s="147"/>
      <c r="C277" s="4"/>
      <c r="D277" s="4"/>
      <c r="E277" s="4"/>
      <c r="F277" s="7"/>
      <c r="G277" s="4"/>
    </row>
    <row r="278" spans="1:7" ht="14" customHeight="1">
      <c r="A278" s="147"/>
      <c r="B278" s="147"/>
      <c r="C278" s="4"/>
      <c r="D278" s="4"/>
      <c r="E278" s="4"/>
      <c r="F278" s="7"/>
      <c r="G278" s="4"/>
    </row>
    <row r="279" spans="1:7" ht="14" customHeight="1">
      <c r="A279" s="147"/>
      <c r="B279" s="147"/>
      <c r="C279" s="4"/>
      <c r="D279" s="4"/>
      <c r="E279" s="4"/>
      <c r="F279" s="7"/>
      <c r="G279" s="4"/>
    </row>
    <row r="280" spans="1:7" ht="14" customHeight="1">
      <c r="A280" s="147"/>
      <c r="B280" s="147"/>
      <c r="C280" s="4"/>
      <c r="D280" s="4"/>
      <c r="E280" s="4"/>
      <c r="F280" s="7"/>
      <c r="G280" s="4"/>
    </row>
    <row r="281" spans="1:7" ht="14" customHeight="1">
      <c r="A281" s="147"/>
      <c r="B281" s="147"/>
      <c r="C281" s="4"/>
      <c r="D281" s="4"/>
      <c r="E281" s="4"/>
      <c r="F281" s="7"/>
      <c r="G281" s="4"/>
    </row>
    <row r="282" spans="1:7" ht="14" customHeight="1">
      <c r="A282" s="147"/>
      <c r="B282" s="147"/>
      <c r="C282" s="4"/>
      <c r="D282" s="4"/>
      <c r="E282" s="4"/>
      <c r="F282" s="7"/>
      <c r="G282" s="4"/>
    </row>
    <row r="283" spans="1:7" ht="14" customHeight="1">
      <c r="A283" s="147"/>
      <c r="B283" s="147"/>
      <c r="C283" s="4"/>
      <c r="D283" s="4"/>
      <c r="E283" s="4"/>
      <c r="F283" s="7"/>
      <c r="G283" s="4"/>
    </row>
    <row r="284" spans="1:7" ht="14" customHeight="1">
      <c r="A284" s="147"/>
      <c r="B284" s="147"/>
      <c r="C284" s="4"/>
      <c r="D284" s="4"/>
      <c r="E284" s="4"/>
      <c r="F284" s="7"/>
      <c r="G284" s="4"/>
    </row>
    <row r="285" spans="1:7" ht="14" customHeight="1">
      <c r="A285" s="147"/>
      <c r="B285" s="147"/>
      <c r="C285" s="4"/>
      <c r="D285" s="4"/>
      <c r="E285" s="4"/>
      <c r="F285" s="7"/>
      <c r="G285" s="4"/>
    </row>
    <row r="286" spans="1:7" ht="14" customHeight="1">
      <c r="A286" s="147"/>
      <c r="B286" s="147"/>
      <c r="C286" s="4"/>
      <c r="D286" s="4"/>
      <c r="E286" s="4"/>
      <c r="F286" s="7"/>
      <c r="G286" s="4"/>
    </row>
    <row r="287" spans="1:7" ht="14" customHeight="1">
      <c r="A287" s="147"/>
      <c r="B287" s="147"/>
      <c r="C287" s="4"/>
      <c r="D287" s="4"/>
      <c r="E287" s="4"/>
      <c r="F287" s="7"/>
      <c r="G287" s="4"/>
    </row>
    <row r="288" spans="1:7" ht="14" customHeight="1">
      <c r="A288" s="147"/>
      <c r="B288" s="147"/>
      <c r="C288" s="4"/>
      <c r="D288" s="4"/>
      <c r="E288" s="4"/>
      <c r="F288" s="7"/>
      <c r="G288" s="4"/>
    </row>
    <row r="289" spans="1:7" ht="14" customHeight="1">
      <c r="A289" s="147"/>
      <c r="B289" s="147"/>
      <c r="C289" s="4"/>
      <c r="D289" s="4"/>
      <c r="E289" s="4"/>
      <c r="F289" s="7"/>
      <c r="G289" s="4"/>
    </row>
    <row r="290" spans="1:7" ht="14" customHeight="1">
      <c r="A290" s="147"/>
      <c r="B290" s="147"/>
      <c r="C290" s="4"/>
      <c r="D290" s="4"/>
      <c r="E290" s="4"/>
      <c r="F290" s="7"/>
      <c r="G290" s="4"/>
    </row>
    <row r="291" spans="1:7" ht="14" customHeight="1">
      <c r="A291" s="147"/>
      <c r="B291" s="147"/>
      <c r="C291" s="4"/>
      <c r="D291" s="4"/>
      <c r="E291" s="4"/>
      <c r="F291" s="7"/>
      <c r="G291" s="4"/>
    </row>
    <row r="292" spans="1:7" ht="14" customHeight="1">
      <c r="A292" s="147"/>
      <c r="B292" s="147"/>
      <c r="C292" s="4"/>
      <c r="D292" s="4"/>
      <c r="E292" s="4"/>
      <c r="F292" s="7"/>
      <c r="G292" s="4"/>
    </row>
    <row r="293" spans="1:7" ht="14" customHeight="1">
      <c r="A293" s="147"/>
      <c r="B293" s="147"/>
      <c r="C293" s="4"/>
      <c r="D293" s="4"/>
      <c r="E293" s="4"/>
      <c r="F293" s="7"/>
      <c r="G293" s="4"/>
    </row>
    <row r="294" spans="1:7" ht="14" customHeight="1">
      <c r="A294" s="147"/>
      <c r="B294" s="147"/>
      <c r="C294" s="4"/>
      <c r="D294" s="4"/>
      <c r="E294" s="4"/>
      <c r="F294" s="7"/>
      <c r="G294" s="4"/>
    </row>
    <row r="295" spans="1:7" ht="14" customHeight="1">
      <c r="A295" s="147"/>
      <c r="B295" s="147"/>
      <c r="C295" s="4"/>
      <c r="D295" s="4"/>
      <c r="E295" s="4"/>
      <c r="F295" s="7"/>
      <c r="G295" s="4"/>
    </row>
    <row r="296" spans="1:7" ht="14" customHeight="1">
      <c r="A296" s="147"/>
      <c r="B296" s="147"/>
      <c r="C296" s="4"/>
      <c r="D296" s="4"/>
      <c r="E296" s="4"/>
      <c r="F296" s="7"/>
      <c r="G296" s="4"/>
    </row>
    <row r="297" spans="1:7" ht="14" customHeight="1">
      <c r="A297" s="147"/>
      <c r="B297" s="147"/>
      <c r="C297" s="4"/>
      <c r="D297" s="4"/>
      <c r="E297" s="4"/>
      <c r="F297" s="7"/>
      <c r="G297" s="4"/>
    </row>
    <row r="298" spans="1:7" ht="14" customHeight="1">
      <c r="A298" s="147"/>
      <c r="B298" s="147"/>
      <c r="C298" s="4"/>
      <c r="D298" s="4"/>
      <c r="E298" s="4"/>
      <c r="F298" s="7"/>
      <c r="G298" s="4"/>
    </row>
    <row r="299" spans="1:7" ht="14" customHeight="1">
      <c r="A299" s="147"/>
      <c r="B299" s="147"/>
      <c r="C299" s="4"/>
      <c r="D299" s="4"/>
      <c r="E299" s="4"/>
      <c r="F299" s="7"/>
      <c r="G299" s="4"/>
    </row>
    <row r="300" spans="1:7" ht="14" customHeight="1">
      <c r="A300" s="147"/>
      <c r="B300" s="147"/>
      <c r="C300" s="4"/>
      <c r="D300" s="4"/>
      <c r="E300" s="4"/>
      <c r="F300" s="7"/>
      <c r="G300" s="4"/>
    </row>
    <row r="301" spans="1:7" ht="14" customHeight="1">
      <c r="A301" s="147"/>
      <c r="B301" s="147"/>
      <c r="C301" s="4"/>
      <c r="D301" s="4"/>
      <c r="E301" s="4"/>
      <c r="F301" s="7"/>
      <c r="G301" s="4"/>
    </row>
    <row r="302" spans="1:7" ht="14" customHeight="1">
      <c r="A302" s="147"/>
      <c r="B302" s="147"/>
      <c r="C302" s="4"/>
      <c r="D302" s="4"/>
      <c r="E302" s="4"/>
      <c r="F302" s="7"/>
      <c r="G302" s="4"/>
    </row>
    <row r="303" spans="1:7" ht="14" customHeight="1">
      <c r="A303" s="147"/>
      <c r="B303" s="147"/>
      <c r="C303" s="4"/>
      <c r="D303" s="4"/>
      <c r="E303" s="4"/>
      <c r="F303" s="7"/>
      <c r="G303" s="4"/>
    </row>
    <row r="304" spans="1:7" ht="14" customHeight="1">
      <c r="A304" s="147"/>
      <c r="B304" s="147"/>
      <c r="C304" s="4"/>
      <c r="D304" s="4"/>
      <c r="E304" s="4"/>
      <c r="F304" s="7"/>
      <c r="G304" s="4"/>
    </row>
    <row r="305" spans="1:7" ht="14" customHeight="1">
      <c r="A305" s="147"/>
      <c r="B305" s="147"/>
      <c r="C305" s="4"/>
      <c r="D305" s="4"/>
      <c r="E305" s="4"/>
      <c r="F305" s="7"/>
      <c r="G305" s="4"/>
    </row>
    <row r="306" spans="1:7" ht="14" customHeight="1">
      <c r="A306" s="147"/>
      <c r="B306" s="147"/>
      <c r="C306" s="4"/>
      <c r="D306" s="4"/>
      <c r="E306" s="4"/>
      <c r="F306" s="7"/>
      <c r="G306" s="4"/>
    </row>
    <row r="307" spans="1:7" ht="14" customHeight="1">
      <c r="A307" s="147"/>
      <c r="B307" s="147"/>
      <c r="C307" s="4"/>
      <c r="D307" s="4"/>
      <c r="E307" s="4"/>
      <c r="F307" s="7"/>
      <c r="G307" s="4"/>
    </row>
    <row r="308" spans="1:7" ht="14" customHeight="1">
      <c r="A308" s="147"/>
      <c r="B308" s="147"/>
      <c r="C308" s="4"/>
      <c r="D308" s="4"/>
      <c r="E308" s="4"/>
      <c r="F308" s="7"/>
      <c r="G308" s="4"/>
    </row>
    <row r="309" spans="1:7" ht="14" customHeight="1">
      <c r="A309" s="147"/>
      <c r="B309" s="147"/>
      <c r="C309" s="4"/>
      <c r="D309" s="4"/>
      <c r="E309" s="4"/>
      <c r="F309" s="7"/>
      <c r="G309" s="4"/>
    </row>
    <row r="310" spans="1:7" ht="14" customHeight="1">
      <c r="A310" s="147"/>
      <c r="B310" s="147"/>
      <c r="C310" s="4"/>
      <c r="D310" s="4"/>
      <c r="E310" s="4"/>
      <c r="F310" s="7"/>
      <c r="G310" s="4"/>
    </row>
    <row r="311" spans="1:7" ht="14" customHeight="1">
      <c r="A311" s="147"/>
      <c r="B311" s="147"/>
      <c r="C311" s="4"/>
      <c r="D311" s="4"/>
      <c r="E311" s="4"/>
      <c r="F311" s="7"/>
      <c r="G311" s="4"/>
    </row>
    <row r="312" spans="1:7" ht="14" customHeight="1">
      <c r="A312" s="147"/>
      <c r="B312" s="147"/>
      <c r="C312" s="4"/>
      <c r="D312" s="4"/>
      <c r="E312" s="4"/>
      <c r="F312" s="7"/>
      <c r="G312" s="4"/>
    </row>
    <row r="313" spans="1:7" ht="14" customHeight="1">
      <c r="A313" s="147"/>
      <c r="B313" s="147"/>
      <c r="C313" s="4"/>
      <c r="D313" s="4"/>
      <c r="E313" s="4"/>
      <c r="F313" s="7"/>
      <c r="G313" s="4"/>
    </row>
    <row r="314" spans="1:7" ht="14" customHeight="1">
      <c r="A314" s="147"/>
      <c r="B314" s="147"/>
      <c r="C314" s="4"/>
      <c r="D314" s="4"/>
      <c r="E314" s="4"/>
      <c r="F314" s="7"/>
      <c r="G314" s="4"/>
    </row>
    <row r="315" spans="1:7" ht="14" customHeight="1">
      <c r="A315" s="147"/>
      <c r="B315" s="147"/>
      <c r="C315" s="4"/>
      <c r="D315" s="4"/>
      <c r="E315" s="4"/>
      <c r="F315" s="7"/>
      <c r="G315" s="4"/>
    </row>
    <row r="316" spans="1:7" ht="14" customHeight="1">
      <c r="A316" s="147"/>
      <c r="B316" s="147"/>
      <c r="C316" s="4"/>
      <c r="D316" s="4"/>
      <c r="E316" s="4"/>
      <c r="F316" s="7"/>
      <c r="G316" s="4"/>
    </row>
    <row r="317" spans="1:7" ht="14" customHeight="1">
      <c r="A317" s="147"/>
      <c r="B317" s="147"/>
      <c r="C317" s="4"/>
      <c r="D317" s="4"/>
      <c r="E317" s="4"/>
      <c r="F317" s="7"/>
      <c r="G317" s="4"/>
    </row>
    <row r="318" spans="1:7" ht="14" customHeight="1">
      <c r="A318" s="147"/>
      <c r="B318" s="147"/>
      <c r="C318" s="4"/>
      <c r="D318" s="4"/>
      <c r="E318" s="4"/>
      <c r="F318" s="7"/>
      <c r="G318" s="4"/>
    </row>
    <row r="319" spans="1:7" ht="14" customHeight="1">
      <c r="A319" s="147"/>
      <c r="B319" s="147"/>
      <c r="C319" s="4"/>
      <c r="D319" s="4"/>
      <c r="E319" s="4"/>
      <c r="F319" s="7"/>
      <c r="G319" s="4"/>
    </row>
    <row r="320" spans="1:7" ht="14" customHeight="1">
      <c r="A320" s="147"/>
      <c r="B320" s="147"/>
      <c r="C320" s="4"/>
      <c r="D320" s="4"/>
      <c r="E320" s="4"/>
      <c r="F320" s="7"/>
      <c r="G320" s="4"/>
    </row>
    <row r="321" spans="1:7" ht="14" customHeight="1">
      <c r="A321" s="147"/>
      <c r="B321" s="147"/>
      <c r="C321" s="4"/>
      <c r="D321" s="4"/>
      <c r="E321" s="4"/>
      <c r="F321" s="7"/>
      <c r="G321" s="4"/>
    </row>
    <row r="322" spans="1:7" ht="14" customHeight="1">
      <c r="A322" s="147"/>
      <c r="B322" s="147"/>
      <c r="C322" s="4"/>
      <c r="D322" s="4"/>
      <c r="E322" s="4"/>
      <c r="F322" s="7"/>
      <c r="G322" s="4"/>
    </row>
    <row r="323" spans="1:7" ht="14" customHeight="1">
      <c r="A323" s="147"/>
      <c r="B323" s="147"/>
      <c r="C323" s="4"/>
      <c r="D323" s="4"/>
      <c r="E323" s="4"/>
      <c r="F323" s="7"/>
      <c r="G323" s="4"/>
    </row>
    <row r="324" spans="1:7" ht="14" customHeight="1">
      <c r="A324" s="147"/>
      <c r="B324" s="147"/>
      <c r="C324" s="4"/>
      <c r="D324" s="4"/>
      <c r="E324" s="4"/>
      <c r="F324" s="7"/>
      <c r="G324" s="4"/>
    </row>
    <row r="325" spans="1:7" ht="14" customHeight="1">
      <c r="A325" s="147"/>
      <c r="B325" s="147"/>
      <c r="C325" s="4"/>
      <c r="D325" s="4"/>
      <c r="E325" s="4"/>
      <c r="F325" s="7"/>
      <c r="G325" s="4"/>
    </row>
    <row r="326" spans="1:7" ht="14" customHeight="1">
      <c r="A326" s="147"/>
      <c r="B326" s="147"/>
      <c r="C326" s="4"/>
      <c r="D326" s="4"/>
      <c r="E326" s="4"/>
      <c r="F326" s="7"/>
      <c r="G326" s="4"/>
    </row>
    <row r="327" spans="1:7" ht="14" customHeight="1">
      <c r="A327" s="147"/>
      <c r="B327" s="147"/>
      <c r="C327" s="4"/>
      <c r="D327" s="4"/>
      <c r="E327" s="4"/>
      <c r="F327" s="7"/>
      <c r="G327" s="4"/>
    </row>
    <row r="328" spans="1:7" ht="14" customHeight="1">
      <c r="A328" s="147"/>
      <c r="B328" s="147"/>
      <c r="C328" s="4"/>
      <c r="D328" s="4"/>
      <c r="E328" s="4"/>
      <c r="F328" s="7"/>
      <c r="G328" s="4"/>
    </row>
    <row r="329" spans="1:7" ht="14" customHeight="1">
      <c r="A329" s="147"/>
      <c r="B329" s="147"/>
      <c r="C329" s="4"/>
      <c r="D329" s="4"/>
      <c r="E329" s="4"/>
      <c r="F329" s="7"/>
      <c r="G329" s="4"/>
    </row>
    <row r="330" spans="1:7" ht="14" customHeight="1">
      <c r="A330" s="147"/>
      <c r="B330" s="147"/>
      <c r="C330" s="4"/>
      <c r="D330" s="4"/>
      <c r="E330" s="4"/>
      <c r="F330" s="7"/>
      <c r="G330" s="4"/>
    </row>
    <row r="331" spans="1:7" ht="14" customHeight="1">
      <c r="A331" s="147"/>
      <c r="B331" s="147"/>
      <c r="C331" s="4"/>
      <c r="D331" s="4"/>
      <c r="E331" s="4"/>
      <c r="F331" s="7"/>
      <c r="G331" s="4"/>
    </row>
    <row r="332" spans="1:7" ht="14" customHeight="1">
      <c r="A332" s="147"/>
      <c r="B332" s="147"/>
      <c r="C332" s="4"/>
      <c r="D332" s="4"/>
      <c r="E332" s="4"/>
      <c r="F332" s="7"/>
      <c r="G332" s="4"/>
    </row>
    <row r="333" spans="1:7" ht="14" customHeight="1">
      <c r="A333" s="147"/>
      <c r="B333" s="147"/>
      <c r="C333" s="4"/>
      <c r="D333" s="4"/>
      <c r="E333" s="4"/>
      <c r="F333" s="7"/>
      <c r="G333" s="4"/>
    </row>
    <row r="334" spans="1:7" ht="14" customHeight="1">
      <c r="A334" s="147"/>
      <c r="B334" s="147"/>
      <c r="C334" s="4"/>
      <c r="D334" s="4"/>
      <c r="E334" s="4"/>
      <c r="F334" s="7"/>
      <c r="G334" s="4"/>
    </row>
    <row r="335" spans="1:7" ht="14" customHeight="1">
      <c r="A335" s="147"/>
      <c r="B335" s="147"/>
      <c r="C335" s="4"/>
      <c r="D335" s="4"/>
      <c r="E335" s="4"/>
      <c r="F335" s="7"/>
      <c r="G335" s="4"/>
    </row>
    <row r="336" spans="1:7" ht="14" customHeight="1">
      <c r="A336" s="147"/>
      <c r="B336" s="147"/>
      <c r="C336" s="4"/>
      <c r="D336" s="4"/>
      <c r="E336" s="4"/>
      <c r="F336" s="7"/>
      <c r="G336" s="4"/>
    </row>
    <row r="337" spans="1:7" ht="14" customHeight="1">
      <c r="A337" s="147"/>
      <c r="B337" s="147"/>
      <c r="C337" s="4"/>
      <c r="D337" s="4"/>
      <c r="E337" s="4"/>
      <c r="F337" s="7"/>
      <c r="G337" s="4"/>
    </row>
    <row r="338" spans="1:7" ht="14" customHeight="1">
      <c r="A338" s="147"/>
      <c r="B338" s="147"/>
      <c r="C338" s="4"/>
      <c r="D338" s="4"/>
      <c r="E338" s="4"/>
      <c r="F338" s="7"/>
      <c r="G338" s="4"/>
    </row>
    <row r="339" spans="1:7" ht="14" customHeight="1">
      <c r="A339" s="147"/>
      <c r="B339" s="147"/>
      <c r="C339" s="4"/>
      <c r="D339" s="4"/>
      <c r="E339" s="4"/>
      <c r="F339" s="7"/>
      <c r="G339" s="4"/>
    </row>
    <row r="340" spans="1:7" ht="14" customHeight="1">
      <c r="A340" s="147"/>
      <c r="B340" s="147"/>
      <c r="C340" s="4"/>
      <c r="D340" s="4"/>
      <c r="E340" s="4"/>
      <c r="F340" s="7"/>
      <c r="G340" s="4"/>
    </row>
    <row r="341" spans="1:7" ht="14" customHeight="1">
      <c r="A341" s="147"/>
      <c r="B341" s="147"/>
      <c r="C341" s="4"/>
      <c r="D341" s="4"/>
      <c r="E341" s="4"/>
      <c r="F341" s="7"/>
      <c r="G341" s="4"/>
    </row>
    <row r="342" spans="1:7" ht="14" customHeight="1">
      <c r="A342" s="147"/>
      <c r="B342" s="147"/>
      <c r="C342" s="4"/>
      <c r="D342" s="4"/>
      <c r="E342" s="4"/>
      <c r="F342" s="7"/>
      <c r="G342" s="4"/>
    </row>
    <row r="343" spans="1:7" ht="14" customHeight="1">
      <c r="A343" s="147"/>
      <c r="B343" s="147"/>
      <c r="C343" s="4"/>
      <c r="D343" s="4"/>
      <c r="E343" s="4"/>
      <c r="F343" s="7"/>
      <c r="G343" s="4"/>
    </row>
    <row r="344" spans="1:7" ht="14" customHeight="1">
      <c r="A344" s="147"/>
      <c r="B344" s="147"/>
      <c r="C344" s="4"/>
      <c r="D344" s="4"/>
      <c r="E344" s="4"/>
      <c r="F344" s="7"/>
      <c r="G344" s="4"/>
    </row>
    <row r="345" spans="1:7" ht="14" customHeight="1">
      <c r="A345" s="147"/>
      <c r="B345" s="147"/>
      <c r="C345" s="4"/>
      <c r="D345" s="4"/>
      <c r="E345" s="4"/>
      <c r="F345" s="7"/>
      <c r="G345" s="4"/>
    </row>
    <row r="346" spans="1:7" ht="14" customHeight="1">
      <c r="A346" s="147"/>
      <c r="B346" s="147"/>
      <c r="C346" s="4"/>
      <c r="D346" s="4"/>
      <c r="E346" s="4"/>
      <c r="F346" s="7"/>
      <c r="G346" s="4"/>
    </row>
    <row r="347" spans="1:7" ht="14" customHeight="1">
      <c r="A347" s="147"/>
      <c r="B347" s="147"/>
      <c r="C347" s="4"/>
      <c r="D347" s="4"/>
      <c r="E347" s="4"/>
      <c r="F347" s="7"/>
      <c r="G347" s="4"/>
    </row>
    <row r="348" spans="1:7" ht="14" customHeight="1">
      <c r="A348" s="147"/>
      <c r="B348" s="147"/>
      <c r="C348" s="4"/>
      <c r="D348" s="4"/>
      <c r="E348" s="4"/>
      <c r="F348" s="7"/>
      <c r="G348" s="4"/>
    </row>
    <row r="349" spans="1:7" ht="14" customHeight="1">
      <c r="A349" s="147"/>
      <c r="B349" s="147"/>
      <c r="C349" s="4"/>
      <c r="D349" s="4"/>
      <c r="E349" s="4"/>
      <c r="F349" s="7"/>
      <c r="G349" s="4"/>
    </row>
    <row r="350" spans="1:7" ht="14" customHeight="1">
      <c r="A350" s="147"/>
      <c r="B350" s="147"/>
      <c r="C350" s="4"/>
      <c r="D350" s="4"/>
      <c r="E350" s="4"/>
      <c r="F350" s="7"/>
      <c r="G350" s="4"/>
    </row>
    <row r="351" spans="1:7" ht="14" customHeight="1">
      <c r="A351" s="147"/>
      <c r="B351" s="147"/>
      <c r="C351" s="4"/>
      <c r="D351" s="4"/>
      <c r="E351" s="4"/>
      <c r="F351" s="7"/>
      <c r="G351" s="4"/>
    </row>
    <row r="352" spans="1:7" ht="14" customHeight="1">
      <c r="A352" s="147"/>
      <c r="B352" s="147"/>
      <c r="C352" s="4"/>
      <c r="D352" s="4"/>
      <c r="E352" s="4"/>
      <c r="F352" s="7"/>
      <c r="G352" s="4"/>
    </row>
    <row r="353" spans="1:7" ht="14" customHeight="1">
      <c r="A353" s="147"/>
      <c r="B353" s="147"/>
      <c r="C353" s="4"/>
      <c r="D353" s="4"/>
      <c r="E353" s="4"/>
      <c r="F353" s="7"/>
      <c r="G353" s="4"/>
    </row>
    <row r="354" spans="1:7" ht="14" customHeight="1">
      <c r="A354" s="147"/>
      <c r="B354" s="147"/>
      <c r="C354" s="4"/>
      <c r="D354" s="4"/>
      <c r="E354" s="4"/>
      <c r="F354" s="7"/>
      <c r="G354" s="4"/>
    </row>
    <row r="355" spans="1:7" ht="14" customHeight="1">
      <c r="A355" s="147"/>
      <c r="B355" s="147"/>
      <c r="C355" s="4"/>
      <c r="D355" s="4"/>
      <c r="E355" s="4"/>
      <c r="F355" s="7"/>
      <c r="G355" s="4"/>
    </row>
    <row r="356" spans="1:7" ht="14" customHeight="1">
      <c r="A356" s="147"/>
      <c r="B356" s="147"/>
      <c r="C356" s="4"/>
      <c r="D356" s="4"/>
      <c r="E356" s="4"/>
      <c r="F356" s="7"/>
      <c r="G356" s="4"/>
    </row>
    <row r="357" spans="1:7" ht="14" customHeight="1">
      <c r="A357" s="147"/>
      <c r="B357" s="147"/>
      <c r="C357" s="4"/>
      <c r="D357" s="4"/>
      <c r="E357" s="4"/>
      <c r="F357" s="7"/>
      <c r="G357" s="4"/>
    </row>
    <row r="358" spans="1:7" ht="14" customHeight="1">
      <c r="A358" s="147"/>
      <c r="B358" s="147"/>
      <c r="C358" s="4"/>
      <c r="D358" s="4"/>
      <c r="E358" s="4"/>
      <c r="F358" s="7"/>
      <c r="G358" s="4"/>
    </row>
    <row r="359" spans="1:7" ht="14" customHeight="1">
      <c r="A359" s="147"/>
      <c r="B359" s="147"/>
      <c r="C359" s="4"/>
      <c r="D359" s="4"/>
      <c r="E359" s="4"/>
      <c r="F359" s="7"/>
      <c r="G359" s="4"/>
    </row>
    <row r="360" spans="1:7" ht="14" customHeight="1">
      <c r="A360" s="147"/>
      <c r="B360" s="147"/>
      <c r="C360" s="4"/>
      <c r="D360" s="4"/>
      <c r="E360" s="4"/>
      <c r="F360" s="7"/>
      <c r="G360" s="4"/>
    </row>
    <row r="361" spans="1:7" ht="14" customHeight="1">
      <c r="A361" s="147"/>
      <c r="B361" s="147"/>
      <c r="C361" s="4"/>
      <c r="D361" s="4"/>
      <c r="E361" s="4"/>
      <c r="F361" s="7"/>
      <c r="G361" s="4"/>
    </row>
    <row r="362" spans="1:7" ht="14" customHeight="1">
      <c r="A362" s="147"/>
      <c r="B362" s="147"/>
      <c r="C362" s="4"/>
      <c r="D362" s="4"/>
      <c r="E362" s="4"/>
      <c r="F362" s="7"/>
      <c r="G362" s="4"/>
    </row>
    <row r="363" spans="1:7" ht="14" customHeight="1">
      <c r="A363" s="147"/>
      <c r="B363" s="147"/>
      <c r="C363" s="4"/>
      <c r="D363" s="4"/>
      <c r="E363" s="4"/>
      <c r="F363" s="7"/>
      <c r="G363" s="4"/>
    </row>
    <row r="364" spans="1:7" ht="14" customHeight="1">
      <c r="A364" s="147"/>
      <c r="B364" s="147"/>
      <c r="C364" s="4"/>
      <c r="D364" s="4"/>
      <c r="E364" s="4"/>
      <c r="F364" s="7"/>
      <c r="G364" s="4"/>
    </row>
    <row r="365" spans="1:7" ht="14" customHeight="1">
      <c r="A365" s="147"/>
      <c r="B365" s="147"/>
      <c r="C365" s="4"/>
      <c r="D365" s="4"/>
      <c r="E365" s="4"/>
      <c r="F365" s="7"/>
      <c r="G365" s="4"/>
    </row>
    <row r="366" spans="1:7" ht="14" customHeight="1">
      <c r="A366" s="147"/>
      <c r="B366" s="147"/>
      <c r="C366" s="4"/>
      <c r="D366" s="4"/>
      <c r="E366" s="4"/>
      <c r="F366" s="7"/>
      <c r="G366" s="4"/>
    </row>
    <row r="367" spans="1:7" ht="14" customHeight="1">
      <c r="A367" s="147"/>
      <c r="B367" s="147"/>
      <c r="C367" s="4"/>
      <c r="D367" s="4"/>
      <c r="E367" s="4"/>
      <c r="F367" s="7"/>
      <c r="G367" s="4"/>
    </row>
    <row r="368" spans="1:7" ht="14" customHeight="1">
      <c r="A368" s="147"/>
      <c r="B368" s="147"/>
      <c r="C368" s="4"/>
      <c r="D368" s="4"/>
      <c r="E368" s="4"/>
      <c r="F368" s="7"/>
      <c r="G368" s="4"/>
    </row>
    <row r="369" spans="1:7" ht="14" customHeight="1">
      <c r="A369" s="147"/>
      <c r="B369" s="147"/>
      <c r="C369" s="4"/>
      <c r="D369" s="4"/>
      <c r="E369" s="4"/>
      <c r="F369" s="7"/>
      <c r="G369" s="4"/>
    </row>
    <row r="370" spans="1:7" ht="14" customHeight="1">
      <c r="A370" s="147"/>
      <c r="B370" s="147"/>
      <c r="C370" s="4"/>
      <c r="D370" s="4"/>
      <c r="E370" s="4"/>
      <c r="F370" s="7"/>
      <c r="G370" s="4"/>
    </row>
    <row r="371" spans="1:7" ht="14" customHeight="1">
      <c r="A371" s="147"/>
      <c r="B371" s="147"/>
      <c r="C371" s="4"/>
      <c r="D371" s="4"/>
      <c r="E371" s="4"/>
      <c r="F371" s="7"/>
      <c r="G371" s="4"/>
    </row>
    <row r="372" spans="1:7" ht="14" customHeight="1">
      <c r="A372" s="147"/>
      <c r="B372" s="147"/>
      <c r="C372" s="4"/>
      <c r="D372" s="4"/>
      <c r="E372" s="4"/>
      <c r="F372" s="7"/>
      <c r="G372" s="4"/>
    </row>
    <row r="373" spans="1:7" ht="14" customHeight="1">
      <c r="A373" s="147"/>
      <c r="B373" s="147"/>
      <c r="C373" s="4"/>
      <c r="D373" s="4"/>
      <c r="E373" s="4"/>
      <c r="F373" s="7"/>
      <c r="G373" s="4"/>
    </row>
    <row r="374" spans="1:7" ht="14" customHeight="1">
      <c r="A374" s="147"/>
      <c r="B374" s="147"/>
      <c r="C374" s="4"/>
      <c r="D374" s="4"/>
      <c r="E374" s="4"/>
      <c r="F374" s="7"/>
      <c r="G374" s="4"/>
    </row>
    <row r="375" spans="1:7" ht="14" customHeight="1">
      <c r="A375" s="147"/>
      <c r="B375" s="147"/>
      <c r="C375" s="4"/>
      <c r="D375" s="4"/>
      <c r="E375" s="4"/>
      <c r="F375" s="7"/>
      <c r="G375" s="4"/>
    </row>
    <row r="376" spans="1:7" ht="14" customHeight="1">
      <c r="A376" s="147"/>
      <c r="B376" s="147"/>
      <c r="C376" s="4"/>
      <c r="D376" s="4"/>
      <c r="E376" s="4"/>
      <c r="F376" s="7"/>
      <c r="G376" s="4"/>
    </row>
    <row r="377" spans="1:7" ht="14" customHeight="1">
      <c r="A377" s="147"/>
      <c r="B377" s="147"/>
      <c r="C377" s="4"/>
      <c r="D377" s="4"/>
      <c r="E377" s="4"/>
      <c r="F377" s="7"/>
      <c r="G377" s="4"/>
    </row>
    <row r="378" spans="1:7" ht="14" customHeight="1">
      <c r="A378" s="147"/>
      <c r="B378" s="147"/>
      <c r="C378" s="4"/>
      <c r="D378" s="4"/>
      <c r="E378" s="4"/>
      <c r="F378" s="7"/>
      <c r="G378" s="4"/>
    </row>
    <row r="379" spans="1:7" ht="14" customHeight="1">
      <c r="A379" s="147"/>
      <c r="B379" s="147"/>
      <c r="C379" s="4"/>
      <c r="D379" s="4"/>
      <c r="E379" s="4"/>
      <c r="F379" s="7"/>
      <c r="G379" s="4"/>
    </row>
    <row r="380" spans="1:7" ht="14" customHeight="1">
      <c r="A380" s="147"/>
      <c r="B380" s="147"/>
      <c r="C380" s="4"/>
      <c r="D380" s="4"/>
      <c r="E380" s="4"/>
      <c r="F380" s="7"/>
      <c r="G380" s="4"/>
    </row>
    <row r="381" spans="1:7" ht="14" customHeight="1">
      <c r="A381" s="147"/>
      <c r="B381" s="147"/>
      <c r="C381" s="4"/>
      <c r="D381" s="4"/>
      <c r="E381" s="4"/>
      <c r="F381" s="7"/>
      <c r="G381" s="4"/>
    </row>
    <row r="382" spans="1:7" ht="14" customHeight="1">
      <c r="A382" s="147"/>
      <c r="B382" s="147"/>
      <c r="C382" s="4"/>
      <c r="D382" s="4"/>
      <c r="E382" s="4"/>
      <c r="F382" s="7"/>
      <c r="G382" s="4"/>
    </row>
    <row r="383" spans="1:7" ht="14" customHeight="1">
      <c r="A383" s="147"/>
      <c r="B383" s="147"/>
      <c r="C383" s="4"/>
      <c r="D383" s="4"/>
      <c r="E383" s="4"/>
      <c r="F383" s="7"/>
      <c r="G383" s="4"/>
    </row>
    <row r="384" spans="1:7" ht="14" customHeight="1">
      <c r="A384" s="147"/>
      <c r="B384" s="147"/>
      <c r="C384" s="4"/>
      <c r="D384" s="4"/>
      <c r="E384" s="4"/>
      <c r="F384" s="7"/>
      <c r="G384" s="4"/>
    </row>
    <row r="385" spans="1:7" ht="14" customHeight="1">
      <c r="A385" s="147"/>
      <c r="B385" s="147"/>
      <c r="C385" s="4"/>
      <c r="D385" s="4"/>
      <c r="E385" s="4"/>
      <c r="F385" s="7"/>
      <c r="G385" s="4"/>
    </row>
    <row r="386" spans="1:7" ht="14" customHeight="1">
      <c r="A386" s="147"/>
      <c r="B386" s="147"/>
      <c r="C386" s="4"/>
      <c r="D386" s="4"/>
      <c r="E386" s="4"/>
      <c r="F386" s="7"/>
      <c r="G386" s="4"/>
    </row>
    <row r="387" spans="1:7" ht="14" customHeight="1">
      <c r="A387" s="147"/>
      <c r="B387" s="147"/>
      <c r="C387" s="4"/>
      <c r="D387" s="4"/>
      <c r="E387" s="4"/>
      <c r="F387" s="7"/>
      <c r="G387" s="4"/>
    </row>
    <row r="388" spans="1:7" ht="14" customHeight="1">
      <c r="A388" s="147"/>
      <c r="B388" s="147"/>
      <c r="C388" s="4"/>
      <c r="D388" s="4"/>
      <c r="E388" s="4"/>
      <c r="F388" s="7"/>
      <c r="G388" s="4"/>
    </row>
    <row r="389" spans="1:7" ht="14" customHeight="1">
      <c r="A389" s="147"/>
      <c r="B389" s="147"/>
      <c r="C389" s="4"/>
      <c r="D389" s="4"/>
      <c r="E389" s="4"/>
      <c r="F389" s="7"/>
      <c r="G389" s="4"/>
    </row>
    <row r="390" spans="1:7" ht="14" customHeight="1">
      <c r="A390" s="147"/>
      <c r="B390" s="147"/>
      <c r="C390" s="4"/>
      <c r="D390" s="4"/>
      <c r="E390" s="4"/>
      <c r="F390" s="7"/>
      <c r="G390" s="4"/>
    </row>
    <row r="391" spans="1:7" ht="14" customHeight="1">
      <c r="A391" s="147"/>
      <c r="B391" s="147"/>
      <c r="C391" s="4"/>
      <c r="D391" s="4"/>
      <c r="E391" s="4"/>
      <c r="F391" s="7"/>
      <c r="G391" s="4"/>
    </row>
    <row r="392" spans="1:7" ht="14" customHeight="1">
      <c r="A392" s="147"/>
      <c r="B392" s="147"/>
      <c r="C392" s="4"/>
      <c r="D392" s="4"/>
      <c r="E392" s="4"/>
      <c r="F392" s="7"/>
      <c r="G392" s="4"/>
    </row>
    <row r="393" spans="1:7" ht="14" customHeight="1">
      <c r="A393" s="147"/>
      <c r="B393" s="147"/>
      <c r="C393" s="4"/>
      <c r="D393" s="4"/>
      <c r="E393" s="4"/>
      <c r="F393" s="7"/>
      <c r="G393" s="4"/>
    </row>
    <row r="394" spans="1:7" ht="14" customHeight="1">
      <c r="A394" s="147"/>
      <c r="B394" s="147"/>
      <c r="C394" s="4"/>
      <c r="D394" s="4"/>
      <c r="E394" s="4"/>
      <c r="F394" s="7"/>
      <c r="G394" s="4"/>
    </row>
    <row r="395" spans="1:7" ht="14" customHeight="1">
      <c r="A395" s="147"/>
      <c r="B395" s="147"/>
      <c r="C395" s="4"/>
      <c r="D395" s="4"/>
      <c r="E395" s="4"/>
      <c r="F395" s="7"/>
      <c r="G395" s="4"/>
    </row>
    <row r="396" spans="1:7" ht="14" customHeight="1">
      <c r="A396" s="147"/>
      <c r="B396" s="147"/>
      <c r="C396" s="4"/>
      <c r="D396" s="4"/>
      <c r="E396" s="4"/>
      <c r="F396" s="7"/>
      <c r="G396" s="4"/>
    </row>
    <row r="397" spans="1:7" ht="14" customHeight="1">
      <c r="A397" s="147"/>
      <c r="B397" s="147"/>
      <c r="C397" s="4"/>
      <c r="D397" s="4"/>
      <c r="E397" s="4"/>
      <c r="F397" s="7"/>
      <c r="G397" s="4"/>
    </row>
    <row r="398" spans="1:7" ht="14" customHeight="1">
      <c r="A398" s="147"/>
      <c r="B398" s="147"/>
      <c r="C398" s="4"/>
      <c r="D398" s="4"/>
      <c r="E398" s="4"/>
      <c r="F398" s="7"/>
      <c r="G398" s="4"/>
    </row>
    <row r="399" spans="1:7" ht="14" customHeight="1">
      <c r="A399" s="147"/>
      <c r="B399" s="147"/>
      <c r="C399" s="4"/>
      <c r="D399" s="4"/>
      <c r="E399" s="4"/>
      <c r="F399" s="7"/>
      <c r="G399" s="4"/>
    </row>
    <row r="400" spans="1:7" ht="14" customHeight="1">
      <c r="A400" s="147"/>
      <c r="B400" s="147"/>
      <c r="C400" s="4"/>
      <c r="D400" s="4"/>
      <c r="E400" s="4"/>
      <c r="F400" s="7"/>
      <c r="G400" s="4"/>
    </row>
    <row r="401" spans="1:7" ht="14" customHeight="1">
      <c r="A401" s="147"/>
      <c r="B401" s="147"/>
      <c r="C401" s="4"/>
      <c r="D401" s="4"/>
      <c r="E401" s="4"/>
      <c r="F401" s="7"/>
      <c r="G401" s="4"/>
    </row>
    <row r="402" spans="1:7" ht="14" customHeight="1">
      <c r="A402" s="147"/>
      <c r="B402" s="147"/>
      <c r="C402" s="4"/>
      <c r="D402" s="4"/>
      <c r="E402" s="4"/>
      <c r="F402" s="7"/>
      <c r="G402" s="4"/>
    </row>
    <row r="403" spans="1:7" ht="14" customHeight="1">
      <c r="A403" s="147"/>
      <c r="B403" s="147"/>
      <c r="C403" s="4"/>
      <c r="D403" s="4"/>
      <c r="E403" s="4"/>
      <c r="F403" s="7"/>
      <c r="G403" s="4"/>
    </row>
    <row r="404" spans="1:7" ht="14" customHeight="1">
      <c r="A404" s="147"/>
      <c r="B404" s="147"/>
      <c r="C404" s="4"/>
      <c r="D404" s="4"/>
      <c r="E404" s="4"/>
      <c r="F404" s="7"/>
      <c r="G404" s="4"/>
    </row>
    <row r="405" spans="1:7" ht="14" customHeight="1">
      <c r="A405" s="147"/>
      <c r="B405" s="147"/>
      <c r="C405" s="4"/>
      <c r="D405" s="4"/>
      <c r="E405" s="4"/>
      <c r="F405" s="7"/>
      <c r="G405" s="4"/>
    </row>
    <row r="406" spans="1:7" ht="14" customHeight="1">
      <c r="A406" s="147"/>
      <c r="B406" s="147"/>
      <c r="C406" s="4"/>
      <c r="D406" s="4"/>
      <c r="E406" s="4"/>
      <c r="F406" s="7"/>
      <c r="G406" s="4"/>
    </row>
    <row r="407" spans="1:7" ht="14" customHeight="1">
      <c r="A407" s="147"/>
      <c r="B407" s="147"/>
      <c r="C407" s="4"/>
      <c r="D407" s="4"/>
      <c r="E407" s="4"/>
      <c r="F407" s="7"/>
      <c r="G407" s="4"/>
    </row>
    <row r="408" spans="1:7" ht="14" customHeight="1">
      <c r="A408" s="147"/>
      <c r="B408" s="147"/>
      <c r="C408" s="4"/>
      <c r="D408" s="4"/>
      <c r="E408" s="4"/>
      <c r="F408" s="7"/>
      <c r="G408" s="4"/>
    </row>
    <row r="409" spans="1:7" ht="14" customHeight="1">
      <c r="A409" s="147"/>
      <c r="B409" s="147"/>
      <c r="C409" s="4"/>
      <c r="D409" s="4"/>
      <c r="E409" s="4"/>
      <c r="F409" s="7"/>
      <c r="G409" s="4"/>
    </row>
    <row r="410" spans="1:7" ht="14" customHeight="1">
      <c r="A410" s="147"/>
      <c r="B410" s="147"/>
      <c r="C410" s="4"/>
      <c r="D410" s="4"/>
      <c r="E410" s="4"/>
      <c r="F410" s="7"/>
      <c r="G410" s="4"/>
    </row>
    <row r="411" spans="1:7" ht="14" customHeight="1">
      <c r="A411" s="147"/>
      <c r="B411" s="147"/>
      <c r="C411" s="4"/>
      <c r="D411" s="4"/>
      <c r="E411" s="4"/>
      <c r="F411" s="7"/>
      <c r="G411" s="4"/>
    </row>
    <row r="412" spans="1:7" ht="14" customHeight="1">
      <c r="A412" s="147"/>
      <c r="B412" s="147"/>
      <c r="C412" s="4"/>
      <c r="D412" s="4"/>
      <c r="E412" s="4"/>
      <c r="F412" s="7"/>
      <c r="G412" s="4"/>
    </row>
    <row r="413" spans="1:7" ht="14" customHeight="1">
      <c r="A413" s="147"/>
      <c r="B413" s="147"/>
      <c r="C413" s="4"/>
      <c r="D413" s="4"/>
      <c r="E413" s="4"/>
      <c r="F413" s="7"/>
      <c r="G413" s="4"/>
    </row>
    <row r="414" spans="1:7" ht="14" customHeight="1">
      <c r="A414" s="147"/>
      <c r="B414" s="147"/>
      <c r="C414" s="4"/>
      <c r="D414" s="4"/>
      <c r="E414" s="4"/>
      <c r="F414" s="7"/>
      <c r="G414" s="4"/>
    </row>
    <row r="415" spans="1:7" ht="14" customHeight="1">
      <c r="A415" s="147"/>
      <c r="B415" s="147"/>
      <c r="C415" s="4"/>
      <c r="D415" s="4"/>
      <c r="E415" s="4"/>
      <c r="F415" s="7"/>
      <c r="G415" s="4"/>
    </row>
    <row r="416" spans="1:7" ht="14" customHeight="1">
      <c r="A416" s="147"/>
      <c r="B416" s="147"/>
      <c r="C416" s="4"/>
      <c r="D416" s="4"/>
      <c r="E416" s="4"/>
      <c r="F416" s="7"/>
      <c r="G416" s="4"/>
    </row>
    <row r="417" spans="1:7" ht="14" customHeight="1">
      <c r="A417" s="147"/>
      <c r="B417" s="147"/>
      <c r="C417" s="4"/>
      <c r="D417" s="4"/>
      <c r="E417" s="4"/>
      <c r="F417" s="7"/>
      <c r="G417" s="4"/>
    </row>
    <row r="418" spans="1:7" ht="14" customHeight="1">
      <c r="A418" s="147"/>
      <c r="B418" s="147"/>
      <c r="C418" s="4"/>
      <c r="D418" s="4"/>
      <c r="E418" s="4"/>
      <c r="F418" s="7"/>
      <c r="G418" s="4"/>
    </row>
    <row r="419" spans="1:7" ht="14" customHeight="1">
      <c r="A419" s="147"/>
      <c r="B419" s="147"/>
      <c r="C419" s="4"/>
      <c r="D419" s="4"/>
      <c r="E419" s="4"/>
      <c r="F419" s="7"/>
      <c r="G419" s="4"/>
    </row>
    <row r="420" spans="1:7" ht="14" customHeight="1">
      <c r="A420" s="147"/>
      <c r="B420" s="147"/>
      <c r="C420" s="4"/>
      <c r="D420" s="4"/>
      <c r="E420" s="4"/>
      <c r="F420" s="7"/>
      <c r="G420" s="4"/>
    </row>
    <row r="421" spans="1:7" ht="14" customHeight="1">
      <c r="A421" s="147"/>
      <c r="B421" s="147"/>
      <c r="C421" s="4"/>
      <c r="D421" s="4"/>
      <c r="E421" s="4"/>
      <c r="F421" s="7"/>
      <c r="G421" s="4"/>
    </row>
    <row r="422" spans="1:7" ht="14" customHeight="1">
      <c r="A422" s="147"/>
      <c r="B422" s="147"/>
      <c r="C422" s="4"/>
      <c r="D422" s="4"/>
      <c r="E422" s="4"/>
      <c r="F422" s="7"/>
      <c r="G422" s="4"/>
    </row>
    <row r="423" spans="1:7" ht="14" customHeight="1">
      <c r="A423" s="147"/>
      <c r="B423" s="147"/>
      <c r="C423" s="4"/>
      <c r="D423" s="4"/>
      <c r="E423" s="4"/>
      <c r="F423" s="7"/>
      <c r="G423" s="4"/>
    </row>
    <row r="424" spans="1:7" ht="14" customHeight="1">
      <c r="A424" s="147"/>
      <c r="B424" s="147"/>
      <c r="C424" s="4"/>
      <c r="D424" s="4"/>
      <c r="E424" s="4"/>
      <c r="F424" s="7"/>
      <c r="G424" s="4"/>
    </row>
    <row r="425" spans="1:7" ht="14" customHeight="1">
      <c r="A425" s="147"/>
      <c r="B425" s="147"/>
      <c r="C425" s="4"/>
      <c r="D425" s="4"/>
      <c r="E425" s="4"/>
      <c r="F425" s="7"/>
      <c r="G425" s="4"/>
    </row>
    <row r="426" spans="1:7" ht="14" customHeight="1">
      <c r="A426" s="147"/>
      <c r="B426" s="147"/>
      <c r="C426" s="4"/>
      <c r="D426" s="4"/>
      <c r="E426" s="4"/>
      <c r="F426" s="7"/>
      <c r="G426" s="4"/>
    </row>
    <row r="427" spans="1:7" ht="14" customHeight="1">
      <c r="A427" s="147"/>
      <c r="B427" s="147"/>
      <c r="C427" s="4"/>
      <c r="D427" s="4"/>
      <c r="E427" s="4"/>
      <c r="F427" s="7"/>
      <c r="G427" s="4"/>
    </row>
    <row r="428" spans="1:7" ht="14" customHeight="1">
      <c r="A428" s="147"/>
      <c r="B428" s="147"/>
      <c r="C428" s="4"/>
      <c r="D428" s="4"/>
      <c r="E428" s="4"/>
      <c r="F428" s="7"/>
      <c r="G428" s="4"/>
    </row>
    <row r="429" spans="1:7" ht="14" customHeight="1">
      <c r="A429" s="147"/>
      <c r="B429" s="147"/>
      <c r="C429" s="4"/>
      <c r="D429" s="4"/>
      <c r="E429" s="4"/>
      <c r="F429" s="7"/>
      <c r="G429" s="4"/>
    </row>
    <row r="430" spans="1:7" ht="14" customHeight="1">
      <c r="A430" s="147"/>
      <c r="B430" s="147"/>
      <c r="C430" s="4"/>
      <c r="D430" s="4"/>
      <c r="E430" s="4"/>
      <c r="F430" s="7"/>
      <c r="G430" s="4"/>
    </row>
    <row r="431" spans="1:7" ht="14" customHeight="1">
      <c r="A431" s="147"/>
      <c r="B431" s="147"/>
      <c r="C431" s="4"/>
      <c r="D431" s="4"/>
      <c r="E431" s="4"/>
      <c r="F431" s="7"/>
      <c r="G431" s="4"/>
    </row>
    <row r="432" spans="1:7" ht="14" customHeight="1">
      <c r="A432" s="147"/>
      <c r="B432" s="147"/>
      <c r="C432" s="4"/>
      <c r="D432" s="4"/>
      <c r="E432" s="4"/>
      <c r="F432" s="7"/>
      <c r="G432" s="4"/>
    </row>
    <row r="433" spans="1:7" ht="14" customHeight="1">
      <c r="A433" s="147"/>
      <c r="B433" s="147"/>
      <c r="C433" s="4"/>
      <c r="D433" s="4"/>
      <c r="E433" s="4"/>
      <c r="F433" s="7"/>
      <c r="G433" s="4"/>
    </row>
    <row r="434" spans="1:7" ht="14" customHeight="1">
      <c r="A434" s="147"/>
      <c r="B434" s="147"/>
      <c r="C434" s="4"/>
      <c r="D434" s="4"/>
      <c r="E434" s="4"/>
      <c r="F434" s="7"/>
      <c r="G434" s="4"/>
    </row>
    <row r="435" spans="1:7" ht="14" customHeight="1">
      <c r="A435" s="147"/>
      <c r="B435" s="147"/>
      <c r="C435" s="4"/>
      <c r="D435" s="4"/>
      <c r="E435" s="4"/>
      <c r="F435" s="7"/>
      <c r="G435" s="4"/>
    </row>
    <row r="436" spans="1:7" ht="14" customHeight="1">
      <c r="A436" s="147"/>
      <c r="B436" s="147"/>
      <c r="C436" s="4"/>
      <c r="D436" s="4"/>
      <c r="E436" s="4"/>
      <c r="F436" s="7"/>
      <c r="G436" s="4"/>
    </row>
    <row r="437" spans="1:7" ht="14" customHeight="1">
      <c r="A437" s="147"/>
      <c r="B437" s="147"/>
      <c r="C437" s="4"/>
      <c r="D437" s="4"/>
      <c r="E437" s="4"/>
      <c r="F437" s="7"/>
      <c r="G437" s="4"/>
    </row>
    <row r="438" spans="1:7" ht="14" customHeight="1">
      <c r="A438" s="147"/>
      <c r="B438" s="147"/>
      <c r="C438" s="4"/>
      <c r="D438" s="4"/>
      <c r="E438" s="4"/>
      <c r="F438" s="7"/>
      <c r="G438" s="4"/>
    </row>
    <row r="439" spans="1:7" ht="14" customHeight="1">
      <c r="A439" s="147"/>
      <c r="B439" s="147"/>
      <c r="C439" s="4"/>
      <c r="D439" s="4"/>
      <c r="E439" s="4"/>
      <c r="F439" s="7"/>
      <c r="G439" s="4"/>
    </row>
    <row r="440" spans="1:7" ht="14" customHeight="1">
      <c r="A440" s="147"/>
      <c r="B440" s="147"/>
      <c r="C440" s="4"/>
      <c r="D440" s="4"/>
      <c r="E440" s="4"/>
      <c r="F440" s="7"/>
      <c r="G440" s="4"/>
    </row>
    <row r="441" spans="1:7" ht="14" customHeight="1">
      <c r="A441" s="147"/>
      <c r="B441" s="147"/>
      <c r="C441" s="4"/>
      <c r="D441" s="4"/>
      <c r="E441" s="4"/>
      <c r="F441" s="7"/>
      <c r="G441" s="4"/>
    </row>
    <row r="442" spans="1:7" ht="14" customHeight="1">
      <c r="A442" s="147"/>
      <c r="B442" s="147"/>
      <c r="C442" s="4"/>
      <c r="D442" s="4"/>
      <c r="E442" s="4"/>
      <c r="F442" s="7"/>
      <c r="G442" s="4"/>
    </row>
    <row r="443" spans="1:7" ht="14" customHeight="1">
      <c r="A443" s="147"/>
      <c r="B443" s="147"/>
      <c r="C443" s="4"/>
      <c r="D443" s="4"/>
      <c r="E443" s="4"/>
      <c r="F443" s="7"/>
      <c r="G443" s="4"/>
    </row>
    <row r="444" spans="1:7" ht="14" customHeight="1">
      <c r="A444" s="147"/>
      <c r="B444" s="147"/>
      <c r="C444" s="4"/>
      <c r="D444" s="4"/>
      <c r="E444" s="4"/>
      <c r="F444" s="7"/>
      <c r="G444" s="4"/>
    </row>
    <row r="445" spans="1:7" ht="14" customHeight="1">
      <c r="A445" s="147"/>
      <c r="B445" s="147"/>
      <c r="C445" s="4"/>
      <c r="D445" s="4"/>
      <c r="E445" s="4"/>
      <c r="F445" s="7"/>
      <c r="G445" s="4"/>
    </row>
    <row r="446" spans="1:7" ht="14" customHeight="1">
      <c r="A446" s="147"/>
      <c r="B446" s="147"/>
      <c r="C446" s="4"/>
      <c r="D446" s="4"/>
      <c r="E446" s="4"/>
      <c r="F446" s="7"/>
      <c r="G446" s="4"/>
    </row>
    <row r="447" spans="1:7" ht="14" customHeight="1">
      <c r="A447" s="147"/>
      <c r="B447" s="147"/>
      <c r="C447" s="4"/>
      <c r="D447" s="4"/>
      <c r="E447" s="4"/>
      <c r="F447" s="7"/>
      <c r="G447" s="4"/>
    </row>
    <row r="448" spans="1:7" ht="14" customHeight="1">
      <c r="A448" s="147"/>
      <c r="B448" s="147"/>
      <c r="C448" s="4"/>
      <c r="D448" s="4"/>
      <c r="E448" s="4"/>
      <c r="F448" s="7"/>
      <c r="G448" s="4"/>
    </row>
    <row r="449" spans="1:7" ht="14" customHeight="1">
      <c r="A449" s="147"/>
      <c r="B449" s="147"/>
      <c r="C449" s="4"/>
      <c r="D449" s="4"/>
      <c r="E449" s="4"/>
      <c r="F449" s="7"/>
      <c r="G449" s="4"/>
    </row>
    <row r="450" spans="1:7" ht="14" customHeight="1">
      <c r="A450" s="147"/>
      <c r="B450" s="147"/>
      <c r="C450" s="4"/>
      <c r="D450" s="4"/>
      <c r="E450" s="4"/>
      <c r="F450" s="7"/>
      <c r="G450" s="4"/>
    </row>
    <row r="451" spans="1:7" ht="14" customHeight="1">
      <c r="A451" s="147"/>
      <c r="B451" s="147"/>
      <c r="C451" s="4"/>
      <c r="D451" s="4"/>
      <c r="E451" s="4"/>
      <c r="F451" s="7"/>
      <c r="G451" s="4"/>
    </row>
    <row r="452" spans="1:7" ht="14" customHeight="1">
      <c r="A452" s="147"/>
      <c r="B452" s="147"/>
      <c r="C452" s="4"/>
      <c r="D452" s="4"/>
      <c r="E452" s="4"/>
      <c r="F452" s="7"/>
      <c r="G452" s="4"/>
    </row>
    <row r="453" spans="1:7" ht="14" customHeight="1">
      <c r="A453" s="147"/>
      <c r="B453" s="147"/>
      <c r="C453" s="4"/>
      <c r="D453" s="4"/>
      <c r="E453" s="4"/>
      <c r="F453" s="7"/>
      <c r="G453" s="4"/>
    </row>
    <row r="454" spans="1:7" ht="14" customHeight="1">
      <c r="A454" s="147"/>
      <c r="B454" s="147"/>
      <c r="C454" s="4"/>
      <c r="D454" s="4"/>
      <c r="E454" s="4"/>
      <c r="F454" s="7"/>
      <c r="G454" s="4"/>
    </row>
    <row r="455" spans="1:7" ht="14" customHeight="1">
      <c r="A455" s="147"/>
      <c r="B455" s="147"/>
      <c r="C455" s="4"/>
      <c r="D455" s="4"/>
      <c r="E455" s="4"/>
      <c r="F455" s="7"/>
      <c r="G455" s="4"/>
    </row>
    <row r="456" spans="1:7" ht="14" customHeight="1">
      <c r="A456" s="147"/>
      <c r="B456" s="147"/>
      <c r="C456" s="4"/>
      <c r="D456" s="4"/>
      <c r="E456" s="4"/>
      <c r="F456" s="7"/>
      <c r="G456" s="4"/>
    </row>
    <row r="457" spans="1:7" ht="14" customHeight="1">
      <c r="A457" s="147"/>
      <c r="B457" s="147"/>
      <c r="C457" s="4"/>
      <c r="D457" s="4"/>
      <c r="E457" s="4"/>
      <c r="F457" s="7"/>
      <c r="G457" s="4"/>
    </row>
    <row r="458" spans="1:7" ht="14" customHeight="1">
      <c r="A458" s="147"/>
      <c r="B458" s="147"/>
      <c r="C458" s="4"/>
      <c r="D458" s="4"/>
      <c r="E458" s="4"/>
      <c r="F458" s="7"/>
      <c r="G458" s="4"/>
    </row>
    <row r="459" spans="1:7" ht="14" customHeight="1">
      <c r="A459" s="147"/>
      <c r="B459" s="147"/>
      <c r="C459" s="4"/>
      <c r="D459" s="4"/>
      <c r="E459" s="4"/>
      <c r="F459" s="7"/>
      <c r="G459" s="4"/>
    </row>
    <row r="460" spans="1:7" ht="14" customHeight="1">
      <c r="A460" s="147"/>
      <c r="B460" s="147"/>
      <c r="C460" s="4"/>
      <c r="D460" s="4"/>
      <c r="E460" s="4"/>
      <c r="F460" s="7"/>
      <c r="G460" s="4"/>
    </row>
    <row r="461" spans="1:7" ht="14" customHeight="1">
      <c r="A461" s="147"/>
      <c r="B461" s="147"/>
      <c r="C461" s="4"/>
      <c r="D461" s="4"/>
      <c r="E461" s="4"/>
      <c r="F461" s="7"/>
      <c r="G461" s="4"/>
    </row>
    <row r="462" spans="1:7" ht="14" customHeight="1">
      <c r="A462" s="147"/>
      <c r="B462" s="147"/>
      <c r="C462" s="4"/>
      <c r="D462" s="4"/>
      <c r="E462" s="4"/>
      <c r="F462" s="7"/>
      <c r="G462" s="4"/>
    </row>
    <row r="463" spans="1:7" ht="14" customHeight="1">
      <c r="A463" s="147"/>
      <c r="B463" s="147"/>
      <c r="C463" s="4"/>
      <c r="D463" s="4"/>
      <c r="E463" s="4"/>
      <c r="F463" s="7"/>
      <c r="G463" s="4"/>
    </row>
    <row r="464" spans="1:7" ht="14" customHeight="1">
      <c r="A464" s="147"/>
      <c r="B464" s="147"/>
      <c r="C464" s="4"/>
      <c r="D464" s="4"/>
      <c r="E464" s="4"/>
      <c r="F464" s="7"/>
      <c r="G464" s="4"/>
    </row>
    <row r="465" spans="1:7" ht="14" customHeight="1">
      <c r="A465" s="147"/>
      <c r="B465" s="147"/>
      <c r="C465" s="4"/>
      <c r="D465" s="4"/>
      <c r="E465" s="4"/>
      <c r="F465" s="7"/>
      <c r="G465" s="4"/>
    </row>
    <row r="466" spans="1:7" ht="14" customHeight="1">
      <c r="A466" s="147"/>
      <c r="B466" s="147"/>
      <c r="C466" s="4"/>
      <c r="D466" s="4"/>
      <c r="E466" s="4"/>
      <c r="F466" s="7"/>
      <c r="G466" s="4"/>
    </row>
    <row r="467" spans="1:7" ht="14" customHeight="1">
      <c r="A467" s="147"/>
      <c r="B467" s="147"/>
      <c r="C467" s="4"/>
      <c r="D467" s="4"/>
      <c r="E467" s="4"/>
      <c r="F467" s="7"/>
      <c r="G467" s="4"/>
    </row>
    <row r="468" spans="1:7" ht="14" customHeight="1">
      <c r="A468" s="147"/>
      <c r="B468" s="147"/>
      <c r="C468" s="4"/>
      <c r="D468" s="4"/>
      <c r="E468" s="4"/>
      <c r="F468" s="7"/>
      <c r="G468" s="4"/>
    </row>
    <row r="469" spans="1:7" ht="14" customHeight="1">
      <c r="A469" s="147"/>
      <c r="B469" s="147"/>
      <c r="C469" s="4"/>
      <c r="D469" s="4"/>
      <c r="E469" s="4"/>
      <c r="F469" s="7"/>
      <c r="G469" s="4"/>
    </row>
    <row r="470" spans="1:7" ht="14" customHeight="1">
      <c r="A470" s="147"/>
      <c r="B470" s="147"/>
      <c r="C470" s="4"/>
      <c r="D470" s="4"/>
      <c r="E470" s="4"/>
      <c r="F470" s="7"/>
      <c r="G470" s="4"/>
    </row>
    <row r="471" spans="1:7" ht="14" customHeight="1">
      <c r="A471" s="147"/>
      <c r="B471" s="147"/>
      <c r="C471" s="4"/>
      <c r="D471" s="4"/>
      <c r="E471" s="4"/>
      <c r="F471" s="7"/>
      <c r="G471" s="4"/>
    </row>
    <row r="472" spans="1:7" ht="14" customHeight="1">
      <c r="A472" s="147"/>
      <c r="B472" s="147"/>
      <c r="C472" s="4"/>
      <c r="D472" s="4"/>
      <c r="E472" s="4"/>
      <c r="F472" s="7"/>
      <c r="G472" s="4"/>
    </row>
    <row r="473" spans="1:7" ht="14" customHeight="1">
      <c r="A473" s="147"/>
      <c r="B473" s="147"/>
      <c r="C473" s="4"/>
      <c r="D473" s="4"/>
      <c r="E473" s="4"/>
      <c r="F473" s="7"/>
      <c r="G473" s="4"/>
    </row>
    <row r="474" spans="1:7" ht="14" customHeight="1">
      <c r="A474" s="147"/>
      <c r="B474" s="147"/>
      <c r="C474" s="4"/>
      <c r="D474" s="4"/>
      <c r="E474" s="4"/>
      <c r="F474" s="7"/>
      <c r="G474" s="4"/>
    </row>
    <row r="475" spans="1:7" ht="14" customHeight="1">
      <c r="A475" s="147"/>
      <c r="B475" s="147"/>
      <c r="C475" s="4"/>
      <c r="D475" s="4"/>
      <c r="E475" s="4"/>
      <c r="F475" s="7"/>
      <c r="G475" s="4"/>
    </row>
    <row r="476" spans="1:7" ht="14" customHeight="1">
      <c r="A476" s="147"/>
      <c r="B476" s="147"/>
      <c r="F476" s="6"/>
    </row>
    <row r="477" spans="1:7" ht="14" customHeight="1">
      <c r="A477" s="147"/>
      <c r="B477" s="147"/>
      <c r="F477" s="6"/>
    </row>
    <row r="478" spans="1:7" ht="14" customHeight="1">
      <c r="A478" s="147"/>
      <c r="B478" s="147"/>
      <c r="F478" s="6"/>
    </row>
    <row r="479" spans="1:7" ht="14" customHeight="1">
      <c r="A479" s="147"/>
      <c r="B479" s="147"/>
      <c r="F479" s="6"/>
    </row>
    <row r="480" spans="1:7" ht="14" customHeight="1">
      <c r="A480" s="147"/>
      <c r="B480" s="147"/>
      <c r="F480" s="6"/>
    </row>
    <row r="481" spans="1:6" ht="14" customHeight="1">
      <c r="A481" s="147"/>
      <c r="B481" s="147"/>
      <c r="F481" s="6"/>
    </row>
    <row r="482" spans="1:6" ht="14" customHeight="1">
      <c r="A482" s="147"/>
      <c r="B482" s="147"/>
      <c r="F482" s="6"/>
    </row>
    <row r="483" spans="1:6" ht="14" customHeight="1">
      <c r="A483" s="147"/>
      <c r="B483" s="147"/>
      <c r="F483" s="6"/>
    </row>
    <row r="484" spans="1:6" ht="14" customHeight="1">
      <c r="A484" s="147"/>
      <c r="B484" s="147"/>
      <c r="F484" s="6"/>
    </row>
    <row r="485" spans="1:6" ht="14" customHeight="1">
      <c r="A485" s="147"/>
      <c r="B485" s="147"/>
      <c r="F485" s="6"/>
    </row>
    <row r="486" spans="1:6" ht="14" customHeight="1">
      <c r="A486" s="147"/>
      <c r="B486" s="147"/>
      <c r="F486" s="6"/>
    </row>
    <row r="487" spans="1:6" ht="14" customHeight="1">
      <c r="A487" s="147"/>
      <c r="B487" s="147"/>
      <c r="F487" s="6"/>
    </row>
    <row r="488" spans="1:6" ht="14" customHeight="1">
      <c r="A488" s="147"/>
      <c r="B488" s="147"/>
      <c r="F488" s="6"/>
    </row>
    <row r="489" spans="1:6" ht="14" customHeight="1">
      <c r="A489" s="147"/>
      <c r="B489" s="147"/>
      <c r="F489" s="6"/>
    </row>
    <row r="490" spans="1:6" ht="14" customHeight="1">
      <c r="A490" s="147"/>
      <c r="B490" s="147"/>
      <c r="F490" s="6"/>
    </row>
    <row r="491" spans="1:6" ht="14" customHeight="1">
      <c r="A491" s="147"/>
      <c r="B491" s="147"/>
      <c r="F491" s="6"/>
    </row>
    <row r="492" spans="1:6" ht="14" customHeight="1">
      <c r="A492" s="147"/>
      <c r="B492" s="147"/>
      <c r="F492" s="6"/>
    </row>
    <row r="493" spans="1:6" ht="14" customHeight="1">
      <c r="A493" s="147"/>
      <c r="B493" s="147"/>
      <c r="F493" s="6"/>
    </row>
    <row r="494" spans="1:6" ht="14" customHeight="1">
      <c r="A494" s="147"/>
      <c r="B494" s="147"/>
      <c r="F494" s="6"/>
    </row>
    <row r="495" spans="1:6" ht="14" customHeight="1">
      <c r="A495" s="147"/>
      <c r="B495" s="147"/>
      <c r="F495" s="6"/>
    </row>
    <row r="496" spans="1:6" ht="14" customHeight="1">
      <c r="A496" s="147"/>
      <c r="B496" s="147"/>
      <c r="F496" s="6"/>
    </row>
    <row r="497" spans="1:6" ht="14" customHeight="1">
      <c r="A497" s="147"/>
      <c r="B497" s="147"/>
      <c r="F497" s="6"/>
    </row>
    <row r="498" spans="1:6" ht="14" customHeight="1">
      <c r="A498" s="147"/>
      <c r="B498" s="147"/>
      <c r="F498" s="6"/>
    </row>
    <row r="499" spans="1:6" ht="14" customHeight="1">
      <c r="A499" s="147"/>
      <c r="B499" s="147"/>
      <c r="F499" s="6"/>
    </row>
    <row r="500" spans="1:6" ht="14" customHeight="1">
      <c r="A500" s="147"/>
      <c r="B500" s="147"/>
      <c r="F500" s="6"/>
    </row>
    <row r="501" spans="1:6" ht="14" customHeight="1">
      <c r="A501" s="147"/>
      <c r="B501" s="147"/>
      <c r="F501" s="6"/>
    </row>
    <row r="502" spans="1:6" ht="14" customHeight="1">
      <c r="A502" s="147"/>
      <c r="B502" s="147"/>
      <c r="F502" s="6"/>
    </row>
    <row r="503" spans="1:6" ht="14" customHeight="1">
      <c r="A503" s="147"/>
      <c r="B503" s="147"/>
      <c r="F503" s="6"/>
    </row>
    <row r="504" spans="1:6" ht="14" customHeight="1">
      <c r="A504" s="147"/>
      <c r="B504" s="147"/>
      <c r="F504" s="6"/>
    </row>
    <row r="505" spans="1:6" ht="14" customHeight="1">
      <c r="A505" s="147"/>
      <c r="B505" s="147"/>
      <c r="F505" s="6"/>
    </row>
    <row r="506" spans="1:6" ht="14" customHeight="1">
      <c r="A506" s="147"/>
      <c r="B506" s="147"/>
      <c r="F506" s="6"/>
    </row>
    <row r="507" spans="1:6" ht="14" customHeight="1">
      <c r="A507" s="147"/>
      <c r="B507" s="147"/>
      <c r="F507" s="6"/>
    </row>
    <row r="508" spans="1:6" ht="14" customHeight="1">
      <c r="A508" s="147"/>
      <c r="B508" s="147"/>
      <c r="F508" s="6"/>
    </row>
    <row r="509" spans="1:6" ht="14" customHeight="1">
      <c r="A509" s="147"/>
      <c r="B509" s="147"/>
      <c r="F509" s="6"/>
    </row>
    <row r="510" spans="1:6" ht="14" customHeight="1">
      <c r="A510" s="147"/>
      <c r="B510" s="147"/>
      <c r="F510" s="6"/>
    </row>
    <row r="511" spans="1:6" ht="14" customHeight="1">
      <c r="A511" s="147"/>
      <c r="B511" s="147"/>
      <c r="F511" s="6"/>
    </row>
    <row r="512" spans="1:6" ht="14" customHeight="1">
      <c r="A512" s="147"/>
      <c r="B512" s="147"/>
      <c r="F512" s="6"/>
    </row>
    <row r="513" spans="1:6" ht="14" customHeight="1">
      <c r="A513" s="147"/>
      <c r="B513" s="147"/>
      <c r="F513" s="6"/>
    </row>
    <row r="514" spans="1:6" ht="14" customHeight="1">
      <c r="A514" s="147"/>
      <c r="B514" s="147"/>
      <c r="F514" s="6"/>
    </row>
    <row r="515" spans="1:6" ht="14" customHeight="1">
      <c r="A515" s="147"/>
      <c r="B515" s="147"/>
      <c r="F515" s="6"/>
    </row>
    <row r="516" spans="1:6" ht="14" customHeight="1">
      <c r="A516" s="147"/>
      <c r="B516" s="147"/>
      <c r="F516" s="6"/>
    </row>
    <row r="517" spans="1:6" ht="14" customHeight="1">
      <c r="A517" s="147"/>
      <c r="B517" s="147"/>
      <c r="F517" s="6"/>
    </row>
    <row r="518" spans="1:6" ht="14" customHeight="1">
      <c r="A518" s="147"/>
      <c r="B518" s="147"/>
      <c r="F518" s="6"/>
    </row>
    <row r="519" spans="1:6" ht="14" customHeight="1">
      <c r="A519" s="147"/>
      <c r="B519" s="147"/>
      <c r="F519" s="6"/>
    </row>
    <row r="520" spans="1:6" ht="14" customHeight="1">
      <c r="A520" s="109"/>
      <c r="B520" s="109"/>
      <c r="F520" s="6"/>
    </row>
    <row r="521" spans="1:6" ht="14" customHeight="1">
      <c r="A521" s="109"/>
      <c r="B521" s="109"/>
      <c r="F521" s="6"/>
    </row>
    <row r="522" spans="1:6" ht="14" customHeight="1">
      <c r="A522" s="109"/>
      <c r="B522" s="109"/>
      <c r="F522" s="6"/>
    </row>
    <row r="523" spans="1:6" ht="14" customHeight="1">
      <c r="A523" s="109"/>
      <c r="B523" s="109"/>
      <c r="F523" s="6"/>
    </row>
    <row r="524" spans="1:6" ht="14" customHeight="1">
      <c r="A524" s="109"/>
      <c r="B524" s="109"/>
      <c r="F524" s="6"/>
    </row>
    <row r="525" spans="1:6" ht="14" customHeight="1">
      <c r="A525" s="109"/>
      <c r="B525" s="109"/>
      <c r="F525" s="6"/>
    </row>
    <row r="526" spans="1:6" ht="14" customHeight="1">
      <c r="A526" s="109"/>
      <c r="B526" s="109"/>
      <c r="F526" s="6"/>
    </row>
    <row r="527" spans="1:6" ht="14" customHeight="1">
      <c r="A527" s="109"/>
      <c r="B527" s="109"/>
      <c r="F527" s="6"/>
    </row>
    <row r="528" spans="1:6" ht="14" customHeight="1">
      <c r="A528" s="109"/>
      <c r="B528" s="109"/>
      <c r="F528" s="6"/>
    </row>
    <row r="529" spans="1:6" ht="14" customHeight="1">
      <c r="A529" s="109"/>
      <c r="B529" s="109"/>
      <c r="F529" s="6"/>
    </row>
    <row r="530" spans="1:6" ht="14" customHeight="1">
      <c r="A530" s="109"/>
      <c r="B530" s="109"/>
      <c r="F530" s="6"/>
    </row>
    <row r="531" spans="1:6" ht="14" customHeight="1">
      <c r="A531" s="109"/>
      <c r="B531" s="109"/>
      <c r="F531" s="6"/>
    </row>
    <row r="532" spans="1:6" ht="14" customHeight="1">
      <c r="A532" s="109"/>
      <c r="B532" s="109"/>
      <c r="F532" s="6"/>
    </row>
    <row r="533" spans="1:6" ht="14" customHeight="1">
      <c r="A533" s="109"/>
      <c r="B533" s="109"/>
      <c r="F533" s="6"/>
    </row>
    <row r="534" spans="1:6" ht="14" customHeight="1">
      <c r="A534" s="109"/>
      <c r="B534" s="109"/>
      <c r="F534" s="6"/>
    </row>
    <row r="535" spans="1:6" ht="14" customHeight="1">
      <c r="A535" s="109"/>
      <c r="B535" s="109"/>
      <c r="F535" s="6"/>
    </row>
    <row r="536" spans="1:6" ht="14" customHeight="1">
      <c r="A536" s="109"/>
      <c r="B536" s="109"/>
      <c r="F536" s="6"/>
    </row>
    <row r="537" spans="1:6" ht="14" customHeight="1">
      <c r="A537" s="109"/>
      <c r="B537" s="109"/>
      <c r="F537" s="6"/>
    </row>
    <row r="538" spans="1:6" ht="14" customHeight="1">
      <c r="A538" s="109"/>
      <c r="B538" s="109"/>
      <c r="F538" s="6"/>
    </row>
    <row r="539" spans="1:6" ht="14" customHeight="1">
      <c r="A539" s="109"/>
      <c r="B539" s="109"/>
      <c r="F539" s="6"/>
    </row>
    <row r="540" spans="1:6" ht="14" customHeight="1">
      <c r="A540" s="109"/>
      <c r="B540" s="109"/>
      <c r="F540" s="6"/>
    </row>
    <row r="541" spans="1:6" ht="14" customHeight="1">
      <c r="A541" s="109"/>
      <c r="B541" s="109"/>
      <c r="F541" s="6"/>
    </row>
    <row r="542" spans="1:6" ht="14" customHeight="1">
      <c r="A542" s="109"/>
      <c r="B542" s="109"/>
      <c r="F542" s="6"/>
    </row>
    <row r="543" spans="1:6" ht="14" customHeight="1">
      <c r="A543" s="109"/>
      <c r="B543" s="109"/>
      <c r="F543" s="6"/>
    </row>
    <row r="544" spans="1:6" ht="14" customHeight="1">
      <c r="A544" s="109"/>
      <c r="B544" s="109"/>
      <c r="F544" s="6"/>
    </row>
    <row r="545" spans="1:6" ht="14" customHeight="1">
      <c r="A545" s="109"/>
      <c r="B545" s="109"/>
      <c r="F545" s="6"/>
    </row>
    <row r="546" spans="1:6" ht="14" customHeight="1">
      <c r="A546" s="109"/>
      <c r="B546" s="109"/>
      <c r="F546" s="6"/>
    </row>
    <row r="547" spans="1:6" ht="14" customHeight="1">
      <c r="A547" s="109"/>
      <c r="B547" s="109"/>
      <c r="F547" s="6"/>
    </row>
    <row r="548" spans="1:6" ht="14" customHeight="1">
      <c r="A548" s="109"/>
      <c r="B548" s="109"/>
      <c r="F548" s="6"/>
    </row>
    <row r="549" spans="1:6" ht="14" customHeight="1">
      <c r="A549" s="109"/>
      <c r="B549" s="109"/>
      <c r="F549" s="6"/>
    </row>
    <row r="550" spans="1:6" ht="14" customHeight="1">
      <c r="A550" s="109"/>
      <c r="B550" s="109"/>
      <c r="F550" s="6"/>
    </row>
    <row r="551" spans="1:6" ht="14" customHeight="1">
      <c r="A551" s="109"/>
      <c r="B551" s="109"/>
      <c r="F551" s="6"/>
    </row>
    <row r="552" spans="1:6" ht="14" customHeight="1">
      <c r="A552" s="109"/>
      <c r="B552" s="109"/>
      <c r="F552" s="6"/>
    </row>
    <row r="553" spans="1:6" ht="14" customHeight="1">
      <c r="A553" s="109"/>
      <c r="B553" s="109"/>
      <c r="F553" s="6"/>
    </row>
    <row r="554" spans="1:6" ht="14" customHeight="1">
      <c r="A554" s="109"/>
      <c r="B554" s="109"/>
      <c r="F554" s="6"/>
    </row>
    <row r="555" spans="1:6" ht="14" customHeight="1">
      <c r="A555" s="109"/>
      <c r="B555" s="109"/>
      <c r="F555" s="6"/>
    </row>
    <row r="556" spans="1:6" ht="14" customHeight="1">
      <c r="A556" s="109"/>
      <c r="B556" s="109"/>
      <c r="F556" s="6"/>
    </row>
    <row r="557" spans="1:6" ht="14" customHeight="1">
      <c r="A557" s="109"/>
      <c r="B557" s="109"/>
      <c r="F557" s="6"/>
    </row>
    <row r="558" spans="1:6" ht="14" customHeight="1">
      <c r="A558" s="109"/>
      <c r="B558" s="109"/>
      <c r="F558" s="6"/>
    </row>
    <row r="559" spans="1:6" ht="14" customHeight="1">
      <c r="A559" s="109"/>
      <c r="B559" s="109"/>
      <c r="F559" s="6"/>
    </row>
    <row r="560" spans="1:6" ht="14" customHeight="1">
      <c r="A560" s="109"/>
      <c r="B560" s="109"/>
      <c r="F560" s="6"/>
    </row>
    <row r="561" spans="1:6" ht="14" customHeight="1">
      <c r="A561" s="109"/>
      <c r="B561" s="109"/>
      <c r="F561" s="6"/>
    </row>
    <row r="562" spans="1:6" ht="14" customHeight="1">
      <c r="A562" s="109"/>
      <c r="B562" s="109"/>
      <c r="F562" s="6"/>
    </row>
    <row r="563" spans="1:6" ht="14" customHeight="1">
      <c r="A563" s="109"/>
      <c r="B563" s="109"/>
      <c r="F563" s="6"/>
    </row>
    <row r="564" spans="1:6" ht="14" customHeight="1">
      <c r="A564" s="109"/>
      <c r="B564" s="109"/>
      <c r="F564" s="6"/>
    </row>
    <row r="565" spans="1:6" ht="14" customHeight="1">
      <c r="A565" s="109"/>
      <c r="B565" s="109"/>
      <c r="F565" s="6"/>
    </row>
    <row r="566" spans="1:6" ht="14" customHeight="1">
      <c r="A566" s="109"/>
      <c r="B566" s="109"/>
      <c r="F566" s="6"/>
    </row>
    <row r="567" spans="1:6" ht="14" customHeight="1">
      <c r="A567" s="109"/>
      <c r="B567" s="109"/>
      <c r="F567" s="6"/>
    </row>
    <row r="568" spans="1:6" ht="14" customHeight="1">
      <c r="A568" s="109"/>
      <c r="B568" s="109"/>
      <c r="F568" s="6"/>
    </row>
    <row r="569" spans="1:6" ht="14" customHeight="1">
      <c r="A569" s="109"/>
      <c r="B569" s="109"/>
      <c r="F569" s="6"/>
    </row>
    <row r="570" spans="1:6" ht="14" customHeight="1">
      <c r="A570" s="109"/>
      <c r="B570" s="109"/>
      <c r="F570" s="6"/>
    </row>
    <row r="571" spans="1:6" ht="14" customHeight="1">
      <c r="A571" s="109"/>
      <c r="B571" s="109"/>
      <c r="F571" s="6"/>
    </row>
    <row r="572" spans="1:6" ht="14" customHeight="1">
      <c r="A572" s="109"/>
      <c r="B572" s="109"/>
      <c r="F572" s="6"/>
    </row>
    <row r="573" spans="1:6" ht="14" customHeight="1">
      <c r="A573" s="109"/>
      <c r="B573" s="109"/>
      <c r="F573" s="6"/>
    </row>
    <row r="574" spans="1:6" ht="14" customHeight="1">
      <c r="A574" s="109"/>
      <c r="B574" s="109"/>
      <c r="F574" s="6"/>
    </row>
    <row r="575" spans="1:6" ht="14" customHeight="1">
      <c r="A575" s="109"/>
      <c r="B575" s="109"/>
      <c r="F575" s="6"/>
    </row>
    <row r="576" spans="1:6" ht="14" customHeight="1">
      <c r="A576" s="109"/>
      <c r="B576" s="109"/>
      <c r="F576" s="6"/>
    </row>
    <row r="577" spans="1:6" ht="14" customHeight="1">
      <c r="A577" s="109"/>
      <c r="B577" s="109"/>
      <c r="F577" s="6"/>
    </row>
    <row r="578" spans="1:6" ht="14" customHeight="1">
      <c r="A578" s="109"/>
      <c r="B578" s="109"/>
      <c r="F578" s="6"/>
    </row>
    <row r="579" spans="1:6" ht="14" customHeight="1">
      <c r="A579" s="109"/>
      <c r="B579" s="109"/>
      <c r="F579" s="6"/>
    </row>
    <row r="580" spans="1:6" ht="14" customHeight="1">
      <c r="A580" s="109"/>
      <c r="B580" s="109"/>
      <c r="F580" s="6"/>
    </row>
    <row r="581" spans="1:6" ht="14" customHeight="1">
      <c r="A581" s="109"/>
      <c r="B581" s="109"/>
      <c r="F581" s="6"/>
    </row>
    <row r="582" spans="1:6" ht="14" customHeight="1">
      <c r="A582" s="109"/>
      <c r="B582" s="109"/>
      <c r="F582" s="6"/>
    </row>
    <row r="583" spans="1:6" ht="14" customHeight="1">
      <c r="A583" s="109"/>
      <c r="B583" s="109"/>
      <c r="F583" s="6"/>
    </row>
    <row r="584" spans="1:6" ht="14" customHeight="1">
      <c r="A584" s="109"/>
      <c r="B584" s="109"/>
      <c r="F584" s="6"/>
    </row>
    <row r="585" spans="1:6" ht="14" customHeight="1">
      <c r="A585" s="109"/>
      <c r="B585" s="109"/>
      <c r="F585" s="6"/>
    </row>
    <row r="586" spans="1:6" ht="14" customHeight="1">
      <c r="A586" s="109"/>
      <c r="B586" s="109"/>
      <c r="F586" s="6"/>
    </row>
    <row r="587" spans="1:6" ht="14" customHeight="1">
      <c r="A587" s="109"/>
      <c r="B587" s="109"/>
      <c r="F587" s="6"/>
    </row>
    <row r="588" spans="1:6" ht="14" customHeight="1">
      <c r="A588" s="109"/>
      <c r="B588" s="109"/>
      <c r="F588" s="6"/>
    </row>
    <row r="589" spans="1:6" ht="14" customHeight="1">
      <c r="A589" s="109"/>
      <c r="B589" s="109"/>
      <c r="F589" s="6"/>
    </row>
    <row r="590" spans="1:6" ht="14" customHeight="1">
      <c r="A590" s="109"/>
      <c r="B590" s="109"/>
      <c r="F590" s="6"/>
    </row>
    <row r="591" spans="1:6" ht="14" customHeight="1">
      <c r="A591" s="109"/>
      <c r="B591" s="109"/>
      <c r="F591" s="6"/>
    </row>
    <row r="592" spans="1:6" ht="14" customHeight="1">
      <c r="A592" s="109"/>
      <c r="B592" s="109"/>
      <c r="F592" s="6"/>
    </row>
    <row r="593" spans="1:6" ht="14" customHeight="1">
      <c r="A593" s="109"/>
      <c r="B593" s="109"/>
      <c r="F593" s="6"/>
    </row>
    <row r="594" spans="1:6" ht="14" customHeight="1">
      <c r="A594" s="109"/>
      <c r="B594" s="109"/>
      <c r="F594" s="6"/>
    </row>
    <row r="595" spans="1:6" ht="14" customHeight="1">
      <c r="A595" s="109"/>
      <c r="B595" s="109"/>
      <c r="F595" s="6"/>
    </row>
    <row r="596" spans="1:6" ht="14" customHeight="1">
      <c r="A596" s="109"/>
      <c r="B596" s="109"/>
      <c r="F596" s="6"/>
    </row>
    <row r="597" spans="1:6" ht="14" customHeight="1">
      <c r="A597" s="109"/>
      <c r="B597" s="109"/>
      <c r="F597" s="6"/>
    </row>
    <row r="598" spans="1:6" ht="14" customHeight="1">
      <c r="A598" s="109"/>
      <c r="B598" s="109"/>
      <c r="F598" s="6"/>
    </row>
    <row r="599" spans="1:6" ht="14" customHeight="1">
      <c r="A599" s="109"/>
      <c r="B599" s="109"/>
      <c r="F599" s="6"/>
    </row>
    <row r="600" spans="1:6" ht="14" customHeight="1">
      <c r="A600" s="109"/>
      <c r="B600" s="109"/>
      <c r="F600" s="6"/>
    </row>
    <row r="601" spans="1:6" ht="14" customHeight="1">
      <c r="A601" s="109"/>
      <c r="B601" s="109"/>
      <c r="F601" s="6"/>
    </row>
    <row r="602" spans="1:6" ht="14" customHeight="1">
      <c r="A602" s="109"/>
      <c r="B602" s="109"/>
      <c r="F602" s="6"/>
    </row>
    <row r="603" spans="1:6" ht="14" customHeight="1">
      <c r="A603" s="109"/>
      <c r="B603" s="109"/>
      <c r="F603" s="6"/>
    </row>
    <row r="604" spans="1:6" ht="14" customHeight="1">
      <c r="A604" s="109"/>
      <c r="B604" s="109"/>
      <c r="F604" s="6"/>
    </row>
    <row r="605" spans="1:6" ht="14" customHeight="1">
      <c r="A605" s="109"/>
      <c r="B605" s="109"/>
      <c r="F605" s="6"/>
    </row>
    <row r="606" spans="1:6" ht="14" customHeight="1">
      <c r="A606" s="109"/>
      <c r="B606" s="109"/>
      <c r="F606" s="6"/>
    </row>
    <row r="607" spans="1:6" ht="14" customHeight="1">
      <c r="A607" s="109"/>
      <c r="B607" s="109"/>
      <c r="F607" s="6"/>
    </row>
    <row r="608" spans="1:6" ht="14" customHeight="1">
      <c r="A608" s="109"/>
      <c r="B608" s="109"/>
      <c r="F608" s="6"/>
    </row>
    <row r="609" spans="1:6" ht="14" customHeight="1">
      <c r="A609" s="109"/>
      <c r="B609" s="109"/>
      <c r="F609" s="6"/>
    </row>
    <row r="610" spans="1:6" ht="14" customHeight="1">
      <c r="A610" s="109"/>
      <c r="B610" s="109"/>
      <c r="F610" s="6"/>
    </row>
    <row r="611" spans="1:6" ht="14" customHeight="1">
      <c r="A611" s="109"/>
      <c r="B611" s="109"/>
      <c r="F611" s="6"/>
    </row>
    <row r="612" spans="1:6" ht="14" customHeight="1">
      <c r="A612" s="109"/>
      <c r="B612" s="109"/>
      <c r="F612" s="6"/>
    </row>
    <row r="613" spans="1:6" ht="14" customHeight="1">
      <c r="A613" s="109"/>
      <c r="B613" s="109"/>
      <c r="F613" s="6"/>
    </row>
    <row r="614" spans="1:6" ht="14" customHeight="1">
      <c r="A614" s="109"/>
      <c r="B614" s="109"/>
      <c r="F614" s="6"/>
    </row>
    <row r="615" spans="1:6" ht="14" customHeight="1">
      <c r="A615" s="109"/>
      <c r="B615" s="109"/>
      <c r="F615" s="6"/>
    </row>
    <row r="616" spans="1:6" ht="14" customHeight="1">
      <c r="A616" s="109"/>
      <c r="B616" s="109"/>
      <c r="F616" s="6"/>
    </row>
    <row r="617" spans="1:6" ht="14" customHeight="1">
      <c r="A617" s="109"/>
      <c r="B617" s="109"/>
      <c r="F617" s="6"/>
    </row>
    <row r="618" spans="1:6" ht="14" customHeight="1">
      <c r="A618" s="109"/>
      <c r="B618" s="109"/>
      <c r="F618" s="6"/>
    </row>
    <row r="619" spans="1:6" ht="14" customHeight="1">
      <c r="A619" s="109"/>
      <c r="B619" s="109"/>
      <c r="F619" s="6"/>
    </row>
    <row r="620" spans="1:6" ht="14" customHeight="1">
      <c r="A620" s="109"/>
      <c r="B620" s="109"/>
      <c r="F620" s="6"/>
    </row>
    <row r="621" spans="1:6" ht="14" customHeight="1">
      <c r="A621" s="109"/>
      <c r="B621" s="109"/>
      <c r="F621" s="6"/>
    </row>
    <row r="622" spans="1:6" ht="14" customHeight="1">
      <c r="A622" s="109"/>
      <c r="B622" s="109"/>
      <c r="F622" s="6"/>
    </row>
    <row r="623" spans="1:6" ht="14" customHeight="1">
      <c r="A623" s="109"/>
      <c r="B623" s="109"/>
      <c r="F623" s="6"/>
    </row>
    <row r="624" spans="1:6" ht="14" customHeight="1">
      <c r="A624" s="109"/>
      <c r="B624" s="109"/>
      <c r="F624" s="6"/>
    </row>
    <row r="625" spans="1:6" ht="14" customHeight="1">
      <c r="A625" s="109"/>
      <c r="B625" s="109"/>
      <c r="F625" s="6"/>
    </row>
    <row r="626" spans="1:6" ht="14" customHeight="1">
      <c r="A626" s="109"/>
      <c r="B626" s="109"/>
      <c r="F626" s="6"/>
    </row>
    <row r="627" spans="1:6" ht="14" customHeight="1">
      <c r="A627" s="109"/>
      <c r="B627" s="109"/>
      <c r="F627" s="6"/>
    </row>
    <row r="628" spans="1:6" ht="14" customHeight="1">
      <c r="A628" s="109"/>
      <c r="B628" s="109"/>
      <c r="F628" s="6"/>
    </row>
    <row r="629" spans="1:6" ht="14" customHeight="1">
      <c r="A629" s="109"/>
      <c r="B629" s="109"/>
      <c r="F629" s="6"/>
    </row>
    <row r="630" spans="1:6" ht="14" customHeight="1">
      <c r="A630" s="109"/>
      <c r="B630" s="109"/>
      <c r="F630" s="6"/>
    </row>
    <row r="631" spans="1:6" ht="14" customHeight="1">
      <c r="A631" s="109"/>
      <c r="B631" s="109"/>
      <c r="F631" s="6"/>
    </row>
    <row r="632" spans="1:6" ht="14" customHeight="1">
      <c r="A632" s="109"/>
      <c r="B632" s="109"/>
      <c r="F632" s="6"/>
    </row>
    <row r="633" spans="1:6" ht="14" customHeight="1">
      <c r="A633" s="109"/>
      <c r="B633" s="109"/>
      <c r="F633" s="6"/>
    </row>
    <row r="634" spans="1:6" ht="14" customHeight="1">
      <c r="A634" s="109"/>
      <c r="B634" s="109"/>
      <c r="F634" s="6"/>
    </row>
    <row r="635" spans="1:6" ht="14" customHeight="1">
      <c r="A635" s="109"/>
      <c r="B635" s="109"/>
      <c r="F635" s="6"/>
    </row>
    <row r="636" spans="1:6" ht="14" customHeight="1">
      <c r="A636" s="109"/>
      <c r="B636" s="109"/>
      <c r="F636" s="6"/>
    </row>
    <row r="637" spans="1:6" ht="14" customHeight="1">
      <c r="A637" s="109"/>
      <c r="B637" s="109"/>
      <c r="F637" s="6"/>
    </row>
    <row r="638" spans="1:6" ht="14" customHeight="1">
      <c r="A638" s="109"/>
      <c r="B638" s="109"/>
      <c r="F638" s="6"/>
    </row>
    <row r="639" spans="1:6" ht="14" customHeight="1">
      <c r="A639" s="109"/>
      <c r="B639" s="109"/>
      <c r="F639" s="6"/>
    </row>
    <row r="640" spans="1:6" ht="14" customHeight="1">
      <c r="A640" s="109"/>
      <c r="B640" s="109"/>
      <c r="F640" s="6"/>
    </row>
    <row r="641" spans="1:6" ht="14" customHeight="1">
      <c r="A641" s="109"/>
      <c r="B641" s="109"/>
      <c r="F641" s="6"/>
    </row>
    <row r="642" spans="1:6" ht="14" customHeight="1">
      <c r="A642" s="109"/>
      <c r="B642" s="109"/>
      <c r="F642" s="6"/>
    </row>
    <row r="643" spans="1:6" ht="14" customHeight="1">
      <c r="A643" s="109"/>
      <c r="B643" s="109"/>
      <c r="F643" s="6"/>
    </row>
    <row r="644" spans="1:6" ht="14" customHeight="1">
      <c r="A644" s="109"/>
      <c r="B644" s="109"/>
      <c r="F644" s="6"/>
    </row>
    <row r="645" spans="1:6" ht="14" customHeight="1">
      <c r="A645" s="109"/>
      <c r="B645" s="109"/>
      <c r="F645" s="6"/>
    </row>
    <row r="646" spans="1:6" ht="14" customHeight="1">
      <c r="A646" s="109"/>
      <c r="B646" s="109"/>
      <c r="F646" s="6"/>
    </row>
    <row r="647" spans="1:6" ht="14" customHeight="1">
      <c r="A647" s="109"/>
      <c r="B647" s="109"/>
      <c r="F647" s="6"/>
    </row>
    <row r="648" spans="1:6" ht="14" customHeight="1">
      <c r="A648" s="109"/>
      <c r="B648" s="109"/>
      <c r="F648" s="6"/>
    </row>
    <row r="649" spans="1:6" ht="14" customHeight="1">
      <c r="A649" s="109"/>
      <c r="B649" s="109"/>
      <c r="F649" s="6"/>
    </row>
    <row r="650" spans="1:6" ht="14" customHeight="1">
      <c r="A650" s="109"/>
      <c r="B650" s="109"/>
      <c r="F650" s="6"/>
    </row>
    <row r="651" spans="1:6" ht="14" customHeight="1">
      <c r="A651" s="109"/>
      <c r="B651" s="109"/>
      <c r="F651" s="6"/>
    </row>
    <row r="652" spans="1:6" ht="14" customHeight="1">
      <c r="A652" s="109"/>
      <c r="B652" s="109"/>
      <c r="F652" s="6"/>
    </row>
    <row r="653" spans="1:6" ht="14" customHeight="1">
      <c r="A653" s="109"/>
      <c r="B653" s="109"/>
      <c r="F653" s="6"/>
    </row>
    <row r="654" spans="1:6" ht="14" customHeight="1">
      <c r="A654" s="109"/>
      <c r="B654" s="109"/>
      <c r="F654" s="6"/>
    </row>
    <row r="655" spans="1:6" ht="14" customHeight="1">
      <c r="A655" s="109"/>
      <c r="B655" s="109"/>
      <c r="F655" s="6"/>
    </row>
    <row r="656" spans="1:6" ht="14" customHeight="1">
      <c r="A656" s="109"/>
      <c r="B656" s="109"/>
      <c r="F656" s="6"/>
    </row>
    <row r="657" spans="1:6" ht="14" customHeight="1">
      <c r="A657" s="109"/>
      <c r="B657" s="109"/>
      <c r="F657" s="6"/>
    </row>
    <row r="658" spans="1:6" ht="14" customHeight="1">
      <c r="A658" s="109"/>
      <c r="B658" s="109"/>
      <c r="F658" s="6"/>
    </row>
    <row r="659" spans="1:6" ht="14" customHeight="1">
      <c r="A659" s="109"/>
      <c r="B659" s="109"/>
      <c r="F659" s="6"/>
    </row>
    <row r="660" spans="1:6" ht="14" customHeight="1">
      <c r="A660" s="109"/>
      <c r="B660" s="109"/>
      <c r="F660" s="6"/>
    </row>
    <row r="661" spans="1:6" ht="14" customHeight="1">
      <c r="A661" s="109"/>
      <c r="B661" s="109"/>
      <c r="F661" s="6"/>
    </row>
    <row r="662" spans="1:6" ht="14" customHeight="1">
      <c r="A662" s="109"/>
      <c r="B662" s="109"/>
      <c r="F662" s="6"/>
    </row>
    <row r="663" spans="1:6" ht="14" customHeight="1">
      <c r="A663" s="109"/>
      <c r="B663" s="109"/>
      <c r="F663" s="6"/>
    </row>
    <row r="664" spans="1:6" ht="14" customHeight="1">
      <c r="A664" s="109"/>
      <c r="B664" s="109"/>
      <c r="F664" s="6"/>
    </row>
    <row r="665" spans="1:6" ht="14" customHeight="1">
      <c r="A665" s="109"/>
      <c r="B665" s="109"/>
      <c r="F665" s="6"/>
    </row>
    <row r="666" spans="1:6" ht="14" customHeight="1">
      <c r="A666" s="109"/>
      <c r="B666" s="109"/>
      <c r="F666" s="6"/>
    </row>
    <row r="667" spans="1:6" ht="14" customHeight="1">
      <c r="A667" s="109"/>
      <c r="B667" s="109"/>
      <c r="F667" s="6"/>
    </row>
    <row r="668" spans="1:6" ht="14" customHeight="1">
      <c r="A668" s="109"/>
      <c r="B668" s="109"/>
      <c r="F668" s="6"/>
    </row>
    <row r="669" spans="1:6" ht="14" customHeight="1">
      <c r="A669" s="109"/>
      <c r="B669" s="109"/>
      <c r="F669" s="6"/>
    </row>
    <row r="670" spans="1:6" ht="14" customHeight="1">
      <c r="A670" s="109"/>
      <c r="B670" s="109"/>
      <c r="F670" s="6"/>
    </row>
    <row r="671" spans="1:6" ht="14" customHeight="1">
      <c r="A671" s="109"/>
      <c r="B671" s="109"/>
      <c r="F671" s="6"/>
    </row>
    <row r="672" spans="1:6" ht="14" customHeight="1">
      <c r="A672" s="109"/>
      <c r="B672" s="109"/>
      <c r="F672" s="6"/>
    </row>
    <row r="673" spans="1:6" ht="14" customHeight="1">
      <c r="A673" s="109"/>
      <c r="B673" s="109"/>
      <c r="F673" s="6"/>
    </row>
    <row r="674" spans="1:6" ht="14" customHeight="1">
      <c r="A674" s="109"/>
      <c r="B674" s="109"/>
      <c r="F674" s="6"/>
    </row>
    <row r="675" spans="1:6" ht="14" customHeight="1">
      <c r="A675" s="109"/>
      <c r="B675" s="109"/>
      <c r="F675" s="6"/>
    </row>
    <row r="676" spans="1:6" ht="14" customHeight="1">
      <c r="A676" s="109"/>
      <c r="B676" s="109"/>
      <c r="F676" s="6"/>
    </row>
    <row r="677" spans="1:6" ht="14" customHeight="1">
      <c r="A677" s="109"/>
      <c r="B677" s="109"/>
      <c r="F677" s="6"/>
    </row>
    <row r="678" spans="1:6" ht="14" customHeight="1">
      <c r="A678" s="109"/>
      <c r="B678" s="109"/>
      <c r="F678" s="6"/>
    </row>
    <row r="679" spans="1:6" ht="14" customHeight="1">
      <c r="A679" s="109"/>
      <c r="B679" s="109"/>
      <c r="F679" s="6"/>
    </row>
    <row r="680" spans="1:6" ht="14" customHeight="1">
      <c r="A680" s="109"/>
      <c r="B680" s="109"/>
      <c r="F680" s="6"/>
    </row>
    <row r="681" spans="1:6" ht="14" customHeight="1">
      <c r="A681" s="109"/>
      <c r="B681" s="109"/>
      <c r="F681" s="6"/>
    </row>
    <row r="682" spans="1:6" ht="14" customHeight="1">
      <c r="A682" s="109"/>
      <c r="B682" s="109"/>
      <c r="F682" s="6"/>
    </row>
    <row r="683" spans="1:6" ht="14" customHeight="1">
      <c r="A683" s="109"/>
      <c r="B683" s="109"/>
      <c r="F683" s="6"/>
    </row>
    <row r="684" spans="1:6" ht="14" customHeight="1">
      <c r="A684" s="109"/>
      <c r="B684" s="109"/>
      <c r="F684" s="6"/>
    </row>
    <row r="685" spans="1:6" ht="14" customHeight="1">
      <c r="A685" s="109"/>
      <c r="B685" s="109"/>
      <c r="F685" s="6"/>
    </row>
    <row r="686" spans="1:6" ht="14" customHeight="1">
      <c r="A686" s="109"/>
      <c r="B686" s="109"/>
      <c r="F686" s="6"/>
    </row>
    <row r="687" spans="1:6" ht="14" customHeight="1">
      <c r="A687" s="109"/>
      <c r="B687" s="109"/>
      <c r="F687" s="6"/>
    </row>
    <row r="688" spans="1:6" ht="14" customHeight="1">
      <c r="A688" s="109"/>
      <c r="B688" s="109"/>
      <c r="F688" s="6"/>
    </row>
    <row r="689" spans="1:6" ht="14" customHeight="1">
      <c r="A689" s="109"/>
      <c r="B689" s="109"/>
      <c r="F689" s="6"/>
    </row>
    <row r="690" spans="1:6" ht="14" customHeight="1">
      <c r="A690" s="109"/>
      <c r="B690" s="109"/>
      <c r="F690" s="6"/>
    </row>
    <row r="691" spans="1:6" ht="14" customHeight="1">
      <c r="A691" s="109"/>
      <c r="B691" s="109"/>
      <c r="F691" s="6"/>
    </row>
    <row r="692" spans="1:6" ht="14" customHeight="1">
      <c r="A692" s="109"/>
      <c r="B692" s="109"/>
      <c r="F692" s="6"/>
    </row>
    <row r="693" spans="1:6" ht="14" customHeight="1">
      <c r="A693" s="109"/>
      <c r="B693" s="109"/>
      <c r="F693" s="6"/>
    </row>
    <row r="694" spans="1:6" ht="14" customHeight="1">
      <c r="A694" s="109"/>
      <c r="B694" s="109"/>
      <c r="F694" s="6"/>
    </row>
    <row r="695" spans="1:6" ht="14" customHeight="1">
      <c r="A695" s="109"/>
      <c r="B695" s="109"/>
      <c r="F695" s="6"/>
    </row>
    <row r="696" spans="1:6" ht="14" customHeight="1">
      <c r="A696" s="109"/>
      <c r="B696" s="109"/>
      <c r="F696" s="6"/>
    </row>
    <row r="697" spans="1:6" ht="14" customHeight="1">
      <c r="A697" s="109"/>
      <c r="B697" s="109"/>
      <c r="F697" s="6"/>
    </row>
    <row r="698" spans="1:6" ht="14" customHeight="1">
      <c r="A698" s="109"/>
      <c r="B698" s="109"/>
      <c r="F698" s="6"/>
    </row>
    <row r="699" spans="1:6" ht="14" customHeight="1">
      <c r="A699" s="109"/>
      <c r="B699" s="109"/>
      <c r="F699" s="6"/>
    </row>
    <row r="700" spans="1:6" ht="14" customHeight="1">
      <c r="A700" s="109"/>
      <c r="B700" s="109"/>
      <c r="F700" s="6"/>
    </row>
    <row r="701" spans="1:6" ht="14" customHeight="1">
      <c r="A701" s="109"/>
      <c r="B701" s="109"/>
      <c r="F701" s="6"/>
    </row>
    <row r="702" spans="1:6" ht="14" customHeight="1">
      <c r="A702" s="109"/>
      <c r="B702" s="109"/>
      <c r="F702" s="6"/>
    </row>
    <row r="703" spans="1:6" ht="14" customHeight="1">
      <c r="A703" s="109"/>
      <c r="B703" s="109"/>
      <c r="F703" s="6"/>
    </row>
    <row r="704" spans="1:6" ht="14" customHeight="1">
      <c r="A704" s="109"/>
      <c r="B704" s="109"/>
      <c r="F704" s="6"/>
    </row>
    <row r="705" spans="1:6" ht="14" customHeight="1">
      <c r="A705" s="109"/>
      <c r="B705" s="109"/>
      <c r="F705" s="6"/>
    </row>
    <row r="706" spans="1:6" ht="14" customHeight="1">
      <c r="A706" s="109"/>
      <c r="B706" s="109"/>
      <c r="F706" s="6"/>
    </row>
    <row r="707" spans="1:6" ht="14" customHeight="1">
      <c r="A707" s="109"/>
      <c r="B707" s="109"/>
      <c r="F707" s="6"/>
    </row>
    <row r="708" spans="1:6" ht="14" customHeight="1">
      <c r="A708" s="109"/>
      <c r="B708" s="109"/>
      <c r="F708" s="6"/>
    </row>
    <row r="709" spans="1:6" ht="14" customHeight="1">
      <c r="A709" s="109"/>
      <c r="B709" s="109"/>
      <c r="F709" s="6"/>
    </row>
    <row r="710" spans="1:6" ht="14" customHeight="1">
      <c r="A710" s="109"/>
      <c r="B710" s="109"/>
      <c r="F710" s="6"/>
    </row>
    <row r="711" spans="1:6" ht="14" customHeight="1">
      <c r="A711" s="109"/>
      <c r="B711" s="109"/>
      <c r="F711" s="6"/>
    </row>
    <row r="712" spans="1:6" ht="14" customHeight="1">
      <c r="A712" s="109"/>
      <c r="B712" s="109"/>
      <c r="F712" s="6"/>
    </row>
    <row r="713" spans="1:6" ht="14" customHeight="1">
      <c r="A713" s="109"/>
      <c r="B713" s="109"/>
      <c r="F713" s="6"/>
    </row>
    <row r="714" spans="1:6" ht="14" customHeight="1">
      <c r="A714" s="109"/>
      <c r="B714" s="109"/>
      <c r="F714" s="6"/>
    </row>
    <row r="715" spans="1:6" ht="14" customHeight="1">
      <c r="A715" s="109"/>
      <c r="B715" s="109"/>
      <c r="F715" s="6"/>
    </row>
    <row r="716" spans="1:6" ht="14" customHeight="1">
      <c r="A716" s="109"/>
      <c r="B716" s="109"/>
      <c r="F716" s="6"/>
    </row>
    <row r="717" spans="1:6" ht="14" customHeight="1">
      <c r="A717" s="109"/>
      <c r="B717" s="109"/>
      <c r="F717" s="6"/>
    </row>
    <row r="718" spans="1:6" ht="14" customHeight="1">
      <c r="A718" s="109"/>
      <c r="B718" s="109"/>
      <c r="F718" s="6"/>
    </row>
    <row r="719" spans="1:6" ht="14" customHeight="1">
      <c r="A719" s="109"/>
      <c r="B719" s="109"/>
      <c r="F719" s="6"/>
    </row>
    <row r="720" spans="1:6" ht="14" customHeight="1">
      <c r="A720" s="109"/>
      <c r="B720" s="109"/>
      <c r="F720" s="6"/>
    </row>
    <row r="721" spans="1:6" ht="14" customHeight="1">
      <c r="A721" s="109"/>
      <c r="B721" s="109"/>
      <c r="F721" s="6"/>
    </row>
    <row r="722" spans="1:6" ht="14" customHeight="1">
      <c r="A722" s="109"/>
      <c r="B722" s="109"/>
      <c r="F722" s="6"/>
    </row>
    <row r="723" spans="1:6" ht="14" customHeight="1">
      <c r="A723" s="109"/>
      <c r="B723" s="109"/>
      <c r="F723" s="6"/>
    </row>
    <row r="724" spans="1:6" ht="14" customHeight="1">
      <c r="A724" s="109"/>
      <c r="B724" s="109"/>
      <c r="F724" s="6"/>
    </row>
    <row r="725" spans="1:6" ht="14" customHeight="1">
      <c r="A725" s="109"/>
      <c r="B725" s="109"/>
      <c r="F725" s="6"/>
    </row>
    <row r="726" spans="1:6" ht="14" customHeight="1">
      <c r="A726" s="109"/>
      <c r="B726" s="109"/>
      <c r="F726" s="6"/>
    </row>
    <row r="727" spans="1:6" ht="14" customHeight="1">
      <c r="A727" s="109"/>
      <c r="B727" s="109"/>
      <c r="F727" s="6"/>
    </row>
    <row r="728" spans="1:6" ht="14" customHeight="1">
      <c r="A728" s="109"/>
      <c r="B728" s="109"/>
      <c r="F728" s="6"/>
    </row>
    <row r="729" spans="1:6" ht="14" customHeight="1">
      <c r="A729" s="109"/>
      <c r="B729" s="109"/>
      <c r="F729" s="6"/>
    </row>
    <row r="730" spans="1:6" ht="14" customHeight="1">
      <c r="A730" s="109"/>
      <c r="B730" s="109"/>
      <c r="F730" s="6"/>
    </row>
    <row r="731" spans="1:6" ht="14" customHeight="1">
      <c r="A731" s="109"/>
      <c r="B731" s="109"/>
      <c r="F731" s="6"/>
    </row>
    <row r="732" spans="1:6" ht="14" customHeight="1">
      <c r="A732" s="109"/>
      <c r="B732" s="109"/>
      <c r="F732" s="6"/>
    </row>
    <row r="733" spans="1:6" ht="14" customHeight="1">
      <c r="A733" s="109"/>
      <c r="B733" s="109"/>
      <c r="F733" s="6"/>
    </row>
    <row r="734" spans="1:6" ht="14" customHeight="1">
      <c r="A734" s="109"/>
      <c r="B734" s="109"/>
      <c r="F734" s="6"/>
    </row>
    <row r="735" spans="1:6" ht="14" customHeight="1">
      <c r="A735" s="109"/>
      <c r="B735" s="109"/>
      <c r="F735" s="6"/>
    </row>
    <row r="736" spans="1:6" ht="14" customHeight="1">
      <c r="A736" s="109"/>
      <c r="B736" s="109"/>
      <c r="F736" s="6"/>
    </row>
    <row r="737" spans="1:6" ht="14" customHeight="1">
      <c r="A737" s="109"/>
      <c r="B737" s="109"/>
      <c r="F737" s="6"/>
    </row>
    <row r="738" spans="1:6" ht="14" customHeight="1">
      <c r="A738" s="109"/>
      <c r="B738" s="109"/>
      <c r="F738" s="6"/>
    </row>
    <row r="739" spans="1:6" ht="14" customHeight="1">
      <c r="A739" s="109"/>
      <c r="B739" s="109"/>
      <c r="F739" s="6"/>
    </row>
    <row r="740" spans="1:6" ht="14" customHeight="1">
      <c r="A740" s="109"/>
      <c r="B740" s="109"/>
      <c r="F740" s="6"/>
    </row>
    <row r="741" spans="1:6" ht="14" customHeight="1">
      <c r="A741" s="109"/>
      <c r="B741" s="109"/>
      <c r="F741" s="6"/>
    </row>
    <row r="742" spans="1:6" ht="14" customHeight="1">
      <c r="A742" s="109"/>
      <c r="B742" s="109"/>
      <c r="F742" s="6"/>
    </row>
    <row r="743" spans="1:6" ht="14" customHeight="1">
      <c r="A743" s="109"/>
      <c r="B743" s="109"/>
      <c r="F743" s="6"/>
    </row>
    <row r="744" spans="1:6" ht="14" customHeight="1">
      <c r="A744" s="109"/>
      <c r="B744" s="109"/>
      <c r="F744" s="6"/>
    </row>
    <row r="745" spans="1:6" ht="14" customHeight="1">
      <c r="A745" s="109"/>
      <c r="B745" s="109"/>
      <c r="F745" s="6"/>
    </row>
    <row r="746" spans="1:6" ht="14" customHeight="1">
      <c r="A746" s="109"/>
      <c r="B746" s="109"/>
      <c r="F746" s="6"/>
    </row>
    <row r="747" spans="1:6" ht="14" customHeight="1">
      <c r="A747" s="109"/>
      <c r="B747" s="109"/>
      <c r="F747" s="6"/>
    </row>
    <row r="748" spans="1:6" ht="14" customHeight="1">
      <c r="A748" s="109"/>
      <c r="B748" s="109"/>
      <c r="F748" s="6"/>
    </row>
    <row r="749" spans="1:6" ht="14" customHeight="1">
      <c r="A749" s="109"/>
      <c r="B749" s="109"/>
      <c r="F749" s="6"/>
    </row>
    <row r="750" spans="1:6" ht="14" customHeight="1">
      <c r="A750" s="109"/>
      <c r="B750" s="109"/>
      <c r="F750" s="6"/>
    </row>
    <row r="751" spans="1:6" ht="14" customHeight="1">
      <c r="A751" s="109"/>
      <c r="B751" s="109"/>
      <c r="F751" s="6"/>
    </row>
    <row r="752" spans="1:6" ht="14" customHeight="1">
      <c r="A752" s="109"/>
      <c r="B752" s="109"/>
      <c r="F752" s="6"/>
    </row>
    <row r="753" spans="1:6" ht="14" customHeight="1">
      <c r="A753" s="109"/>
      <c r="B753" s="109"/>
      <c r="F753" s="6"/>
    </row>
    <row r="754" spans="1:6" ht="14" customHeight="1">
      <c r="A754" s="109"/>
      <c r="B754" s="109"/>
      <c r="F754" s="6"/>
    </row>
    <row r="755" spans="1:6" ht="14" customHeight="1">
      <c r="A755" s="109"/>
      <c r="B755" s="109"/>
      <c r="F755" s="6"/>
    </row>
    <row r="756" spans="1:6" ht="14" customHeight="1">
      <c r="A756" s="109"/>
      <c r="B756" s="109"/>
      <c r="F756" s="6"/>
    </row>
    <row r="757" spans="1:6" ht="14" customHeight="1">
      <c r="A757" s="109"/>
      <c r="B757" s="109"/>
      <c r="F757" s="6"/>
    </row>
    <row r="758" spans="1:6" ht="14" customHeight="1">
      <c r="A758" s="109"/>
      <c r="B758" s="109"/>
      <c r="F758" s="6"/>
    </row>
    <row r="759" spans="1:6" ht="14" customHeight="1">
      <c r="A759" s="109"/>
      <c r="B759" s="109"/>
      <c r="F759" s="6"/>
    </row>
    <row r="760" spans="1:6" ht="14" customHeight="1">
      <c r="A760" s="109"/>
      <c r="B760" s="109"/>
      <c r="F760" s="6"/>
    </row>
    <row r="761" spans="1:6" ht="14" customHeight="1">
      <c r="A761" s="109"/>
      <c r="B761" s="109"/>
      <c r="F761" s="6"/>
    </row>
    <row r="762" spans="1:6" ht="14" customHeight="1">
      <c r="A762" s="109"/>
      <c r="B762" s="109"/>
      <c r="F762" s="6"/>
    </row>
    <row r="763" spans="1:6" ht="14" customHeight="1">
      <c r="A763" s="109"/>
      <c r="B763" s="109"/>
      <c r="F763" s="6"/>
    </row>
    <row r="764" spans="1:6" ht="14" customHeight="1">
      <c r="A764" s="109"/>
      <c r="B764" s="109"/>
      <c r="F764" s="6"/>
    </row>
    <row r="765" spans="1:6" ht="14" customHeight="1">
      <c r="A765" s="109"/>
      <c r="B765" s="109"/>
      <c r="F765" s="6"/>
    </row>
    <row r="766" spans="1:6" ht="14" customHeight="1">
      <c r="A766" s="109"/>
      <c r="B766" s="109"/>
      <c r="F766" s="6"/>
    </row>
    <row r="767" spans="1:6" ht="14" customHeight="1">
      <c r="A767" s="109"/>
      <c r="B767" s="109"/>
      <c r="F767" s="6"/>
    </row>
    <row r="768" spans="1:6" ht="14" customHeight="1">
      <c r="A768" s="109"/>
      <c r="B768" s="109"/>
      <c r="F768" s="6"/>
    </row>
    <row r="769" spans="1:6" ht="14" customHeight="1">
      <c r="A769" s="109"/>
      <c r="B769" s="109"/>
      <c r="F769" s="6"/>
    </row>
    <row r="770" spans="1:6" ht="14" customHeight="1">
      <c r="A770" s="109"/>
      <c r="B770" s="109"/>
      <c r="F770" s="6"/>
    </row>
    <row r="771" spans="1:6" ht="14" customHeight="1">
      <c r="A771" s="109"/>
      <c r="B771" s="109"/>
      <c r="F771" s="6"/>
    </row>
    <row r="772" spans="1:6" ht="14" customHeight="1">
      <c r="A772" s="109"/>
      <c r="B772" s="109"/>
      <c r="F772" s="6"/>
    </row>
    <row r="773" spans="1:6" ht="14" customHeight="1">
      <c r="A773" s="109"/>
      <c r="B773" s="109"/>
      <c r="F773" s="6"/>
    </row>
    <row r="774" spans="1:6" ht="14" customHeight="1">
      <c r="A774" s="109"/>
      <c r="B774" s="109"/>
      <c r="F774" s="6"/>
    </row>
    <row r="775" spans="1:6" ht="14" customHeight="1">
      <c r="A775" s="109"/>
      <c r="B775" s="109"/>
      <c r="F775" s="6"/>
    </row>
    <row r="776" spans="1:6" ht="14" customHeight="1">
      <c r="A776" s="109"/>
      <c r="B776" s="109"/>
      <c r="F776" s="6"/>
    </row>
    <row r="777" spans="1:6" ht="14" customHeight="1">
      <c r="A777" s="109"/>
      <c r="B777" s="109"/>
      <c r="F777" s="6"/>
    </row>
    <row r="778" spans="1:6" ht="14" customHeight="1">
      <c r="A778" s="109"/>
      <c r="B778" s="109"/>
      <c r="F778" s="6"/>
    </row>
    <row r="779" spans="1:6" ht="14" customHeight="1">
      <c r="A779" s="109"/>
      <c r="B779" s="109"/>
      <c r="F779" s="6"/>
    </row>
    <row r="780" spans="1:6" ht="14" customHeight="1">
      <c r="A780" s="109"/>
      <c r="B780" s="109"/>
      <c r="F780" s="6"/>
    </row>
    <row r="781" spans="1:6" ht="14" customHeight="1">
      <c r="A781" s="109"/>
      <c r="B781" s="109"/>
      <c r="F781" s="6"/>
    </row>
    <row r="782" spans="1:6" ht="14" customHeight="1">
      <c r="A782" s="109"/>
      <c r="B782" s="109"/>
      <c r="F782" s="6"/>
    </row>
    <row r="783" spans="1:6" ht="14" customHeight="1">
      <c r="A783" s="109"/>
      <c r="B783" s="109"/>
      <c r="F783" s="6"/>
    </row>
    <row r="784" spans="1:6" ht="14" customHeight="1">
      <c r="A784" s="109"/>
      <c r="B784" s="109"/>
      <c r="F784" s="6"/>
    </row>
    <row r="785" spans="1:6" ht="14" customHeight="1">
      <c r="A785" s="109"/>
      <c r="B785" s="109"/>
      <c r="F785" s="6"/>
    </row>
    <row r="786" spans="1:6" ht="14" customHeight="1">
      <c r="A786" s="109"/>
      <c r="B786" s="109"/>
      <c r="F786" s="6"/>
    </row>
    <row r="787" spans="1:6" ht="14" customHeight="1">
      <c r="A787" s="109"/>
      <c r="B787" s="109"/>
      <c r="F787" s="6"/>
    </row>
    <row r="788" spans="1:6" ht="14" customHeight="1">
      <c r="A788" s="109"/>
      <c r="B788" s="109"/>
      <c r="F788" s="6"/>
    </row>
    <row r="789" spans="1:6" ht="14" customHeight="1">
      <c r="A789" s="109"/>
      <c r="B789" s="109"/>
      <c r="F789" s="6"/>
    </row>
    <row r="790" spans="1:6" ht="14" customHeight="1">
      <c r="A790" s="109"/>
      <c r="B790" s="109"/>
      <c r="F790" s="6"/>
    </row>
    <row r="791" spans="1:6" ht="14" customHeight="1">
      <c r="A791" s="109"/>
      <c r="B791" s="109"/>
      <c r="F791" s="6"/>
    </row>
    <row r="792" spans="1:6" ht="14" customHeight="1">
      <c r="A792" s="109"/>
      <c r="B792" s="109"/>
      <c r="F792" s="6"/>
    </row>
    <row r="793" spans="1:6" ht="14" customHeight="1">
      <c r="A793" s="109"/>
      <c r="B793" s="109"/>
      <c r="F793" s="6"/>
    </row>
    <row r="794" spans="1:6" ht="14" customHeight="1">
      <c r="A794" s="109"/>
      <c r="B794" s="109"/>
      <c r="F794" s="6"/>
    </row>
    <row r="795" spans="1:6" ht="14" customHeight="1">
      <c r="A795" s="109"/>
      <c r="B795" s="109"/>
      <c r="F795" s="6"/>
    </row>
    <row r="796" spans="1:6" ht="14" customHeight="1">
      <c r="A796" s="109"/>
      <c r="B796" s="109"/>
      <c r="F796" s="6"/>
    </row>
    <row r="797" spans="1:6" ht="14" customHeight="1">
      <c r="A797" s="109"/>
      <c r="B797" s="109"/>
      <c r="F797" s="6"/>
    </row>
    <row r="798" spans="1:6" ht="14" customHeight="1">
      <c r="A798" s="109"/>
      <c r="B798" s="109"/>
      <c r="F798" s="6"/>
    </row>
    <row r="799" spans="1:6" ht="14" customHeight="1">
      <c r="A799" s="109"/>
      <c r="B799" s="109"/>
      <c r="F799" s="6"/>
    </row>
    <row r="800" spans="1:6" ht="14" customHeight="1">
      <c r="A800" s="109"/>
      <c r="B800" s="109"/>
      <c r="F800" s="6"/>
    </row>
    <row r="801" spans="1:6" ht="14" customHeight="1">
      <c r="A801" s="109"/>
      <c r="B801" s="109"/>
      <c r="F801" s="6"/>
    </row>
    <row r="802" spans="1:6" ht="14" customHeight="1">
      <c r="A802" s="109"/>
      <c r="B802" s="109"/>
      <c r="F802" s="6"/>
    </row>
    <row r="803" spans="1:6" ht="14" customHeight="1">
      <c r="A803" s="109"/>
      <c r="B803" s="109"/>
      <c r="F803" s="6"/>
    </row>
    <row r="804" spans="1:6" ht="14" customHeight="1">
      <c r="A804" s="109"/>
      <c r="B804" s="109"/>
      <c r="F804" s="6"/>
    </row>
    <row r="805" spans="1:6" ht="14" customHeight="1">
      <c r="A805" s="109"/>
      <c r="B805" s="109"/>
      <c r="F805" s="6"/>
    </row>
    <row r="806" spans="1:6" ht="14" customHeight="1">
      <c r="A806" s="109"/>
      <c r="B806" s="109"/>
      <c r="F806" s="6"/>
    </row>
    <row r="807" spans="1:6" ht="14" customHeight="1">
      <c r="A807" s="109"/>
      <c r="B807" s="109"/>
      <c r="F807" s="6"/>
    </row>
    <row r="808" spans="1:6" ht="14" customHeight="1">
      <c r="A808" s="109"/>
      <c r="B808" s="109"/>
      <c r="F808" s="6"/>
    </row>
    <row r="809" spans="1:6" ht="14" customHeight="1">
      <c r="A809" s="109"/>
      <c r="B809" s="109"/>
      <c r="F809" s="6"/>
    </row>
    <row r="810" spans="1:6" ht="14" customHeight="1">
      <c r="A810" s="109"/>
      <c r="B810" s="109"/>
      <c r="F810" s="6"/>
    </row>
    <row r="811" spans="1:6" ht="14" customHeight="1">
      <c r="A811" s="109"/>
      <c r="B811" s="109"/>
      <c r="F811" s="6"/>
    </row>
    <row r="812" spans="1:6" ht="14" customHeight="1">
      <c r="A812" s="109"/>
      <c r="B812" s="109"/>
      <c r="F812" s="6"/>
    </row>
    <row r="813" spans="1:6" ht="14" customHeight="1">
      <c r="A813" s="109"/>
      <c r="B813" s="109"/>
      <c r="F813" s="6"/>
    </row>
    <row r="814" spans="1:6" ht="14" customHeight="1">
      <c r="A814" s="109"/>
      <c r="B814" s="109"/>
      <c r="F814" s="6"/>
    </row>
    <row r="815" spans="1:6" ht="14" customHeight="1">
      <c r="A815" s="109"/>
      <c r="B815" s="109"/>
      <c r="F815" s="6"/>
    </row>
    <row r="816" spans="1:6" ht="14" customHeight="1">
      <c r="A816" s="109"/>
      <c r="B816" s="109"/>
      <c r="F816" s="6"/>
    </row>
    <row r="817" spans="1:6" ht="14" customHeight="1">
      <c r="A817" s="109"/>
      <c r="B817" s="109"/>
      <c r="F817" s="6"/>
    </row>
    <row r="818" spans="1:6" ht="14" customHeight="1">
      <c r="A818" s="109"/>
      <c r="B818" s="109"/>
      <c r="F818" s="6"/>
    </row>
    <row r="819" spans="1:6" ht="14" customHeight="1">
      <c r="A819" s="109"/>
      <c r="B819" s="109"/>
      <c r="F819" s="6"/>
    </row>
    <row r="820" spans="1:6" ht="14" customHeight="1">
      <c r="F820" s="6"/>
    </row>
    <row r="821" spans="1:6" ht="14" customHeight="1">
      <c r="F821" s="6"/>
    </row>
    <row r="822" spans="1:6" ht="14" customHeight="1">
      <c r="F822" s="6"/>
    </row>
    <row r="823" spans="1:6" ht="14" customHeight="1">
      <c r="F823" s="6"/>
    </row>
    <row r="824" spans="1:6" ht="14" customHeight="1">
      <c r="F824" s="6"/>
    </row>
    <row r="825" spans="1:6" ht="14" customHeight="1">
      <c r="F825" s="6"/>
    </row>
    <row r="826" spans="1:6" ht="14" customHeight="1">
      <c r="F826" s="6"/>
    </row>
    <row r="827" spans="1:6" ht="14" customHeight="1">
      <c r="F827" s="6"/>
    </row>
    <row r="828" spans="1:6" ht="14" customHeight="1">
      <c r="F828" s="6"/>
    </row>
    <row r="829" spans="1:6" ht="14" customHeight="1">
      <c r="F829" s="6"/>
    </row>
    <row r="830" spans="1:6" ht="14" customHeight="1">
      <c r="F830" s="6"/>
    </row>
    <row r="831" spans="1:6" ht="14" customHeight="1">
      <c r="F831" s="6"/>
    </row>
    <row r="832" spans="1:6" ht="14" customHeight="1">
      <c r="F832" s="6"/>
    </row>
    <row r="833" spans="6:6" ht="14" customHeight="1">
      <c r="F833" s="6"/>
    </row>
    <row r="834" spans="6:6" ht="14" customHeight="1">
      <c r="F834" s="6"/>
    </row>
    <row r="835" spans="6:6" ht="14" customHeight="1">
      <c r="F835" s="6"/>
    </row>
    <row r="836" spans="6:6" ht="14" customHeight="1">
      <c r="F836" s="6"/>
    </row>
    <row r="837" spans="6:6" ht="14" customHeight="1">
      <c r="F837" s="6"/>
    </row>
    <row r="838" spans="6:6" ht="14" customHeight="1">
      <c r="F838" s="6"/>
    </row>
    <row r="839" spans="6:6" ht="14" customHeight="1">
      <c r="F839" s="6"/>
    </row>
    <row r="840" spans="6:6" ht="14" customHeight="1">
      <c r="F840" s="6"/>
    </row>
    <row r="841" spans="6:6" ht="14" customHeight="1">
      <c r="F841" s="6"/>
    </row>
    <row r="842" spans="6:6" ht="14" customHeight="1">
      <c r="F842" s="6"/>
    </row>
    <row r="843" spans="6:6" ht="14" customHeight="1">
      <c r="F843" s="6"/>
    </row>
    <row r="844" spans="6:6" ht="14" customHeight="1">
      <c r="F844" s="6"/>
    </row>
    <row r="845" spans="6:6" ht="14" customHeight="1">
      <c r="F845" s="6"/>
    </row>
    <row r="846" spans="6:6" ht="14" customHeight="1">
      <c r="F846" s="6"/>
    </row>
    <row r="847" spans="6:6" ht="14" customHeight="1">
      <c r="F847" s="6"/>
    </row>
    <row r="848" spans="6:6" ht="14" customHeight="1">
      <c r="F848" s="6"/>
    </row>
    <row r="849" spans="6:6" ht="14" customHeight="1">
      <c r="F849" s="6"/>
    </row>
    <row r="850" spans="6:6" ht="14" customHeight="1">
      <c r="F850" s="6"/>
    </row>
    <row r="851" spans="6:6" ht="14" customHeight="1">
      <c r="F851" s="6"/>
    </row>
    <row r="852" spans="6:6" ht="14" customHeight="1">
      <c r="F852" s="6"/>
    </row>
    <row r="853" spans="6:6" ht="14" customHeight="1">
      <c r="F853" s="6"/>
    </row>
    <row r="854" spans="6:6" ht="14" customHeight="1">
      <c r="F854" s="6"/>
    </row>
    <row r="855" spans="6:6" ht="14" customHeight="1">
      <c r="F855" s="6"/>
    </row>
    <row r="856" spans="6:6" ht="14" customHeight="1">
      <c r="F856" s="6"/>
    </row>
    <row r="857" spans="6:6" ht="14" customHeight="1">
      <c r="F857" s="6"/>
    </row>
    <row r="858" spans="6:6" ht="14" customHeight="1">
      <c r="F858" s="6"/>
    </row>
    <row r="859" spans="6:6" ht="14" customHeight="1">
      <c r="F859" s="6"/>
    </row>
    <row r="860" spans="6:6" ht="14" customHeight="1">
      <c r="F860" s="6"/>
    </row>
    <row r="861" spans="6:6" ht="14" customHeight="1">
      <c r="F861" s="6"/>
    </row>
    <row r="862" spans="6:6" ht="14" customHeight="1">
      <c r="F862" s="6"/>
    </row>
    <row r="863" spans="6:6" ht="14" customHeight="1">
      <c r="F863" s="6"/>
    </row>
    <row r="864" spans="6:6" ht="14" customHeight="1">
      <c r="F864" s="6"/>
    </row>
    <row r="865" spans="6:6" ht="14" customHeight="1">
      <c r="F865" s="6"/>
    </row>
    <row r="866" spans="6:6" ht="14" customHeight="1">
      <c r="F866" s="6"/>
    </row>
    <row r="867" spans="6:6" ht="14" customHeight="1">
      <c r="F867" s="6"/>
    </row>
    <row r="868" spans="6:6" ht="14" customHeight="1">
      <c r="F868" s="6"/>
    </row>
    <row r="869" spans="6:6" ht="14" customHeight="1">
      <c r="F869" s="6"/>
    </row>
    <row r="870" spans="6:6" ht="14" customHeight="1">
      <c r="F870" s="6"/>
    </row>
    <row r="871" spans="6:6" ht="14" customHeight="1">
      <c r="F871" s="6"/>
    </row>
    <row r="872" spans="6:6" ht="14" customHeight="1">
      <c r="F872" s="6"/>
    </row>
    <row r="873" spans="6:6" ht="14" customHeight="1">
      <c r="F873" s="6"/>
    </row>
    <row r="874" spans="6:6" ht="14" customHeight="1">
      <c r="F874" s="6"/>
    </row>
    <row r="875" spans="6:6" ht="14" customHeight="1">
      <c r="F875" s="6"/>
    </row>
    <row r="876" spans="6:6" ht="14" customHeight="1">
      <c r="F876" s="6"/>
    </row>
    <row r="877" spans="6:6" ht="14" customHeight="1">
      <c r="F877" s="6"/>
    </row>
    <row r="878" spans="6:6" ht="14" customHeight="1">
      <c r="F878" s="6"/>
    </row>
    <row r="879" spans="6:6" ht="14" customHeight="1">
      <c r="F879" s="6"/>
    </row>
    <row r="880" spans="6:6" ht="14" customHeight="1">
      <c r="F880" s="6"/>
    </row>
    <row r="881" spans="6:6" ht="14" customHeight="1">
      <c r="F881" s="6"/>
    </row>
    <row r="882" spans="6:6" ht="14" customHeight="1">
      <c r="F882" s="6"/>
    </row>
    <row r="883" spans="6:6" ht="14" customHeight="1">
      <c r="F883" s="6"/>
    </row>
    <row r="884" spans="6:6" ht="14" customHeight="1">
      <c r="F884" s="6"/>
    </row>
    <row r="885" spans="6:6" ht="14" customHeight="1">
      <c r="F885" s="6"/>
    </row>
    <row r="886" spans="6:6" ht="14" customHeight="1">
      <c r="F886" s="6"/>
    </row>
    <row r="887" spans="6:6" ht="14" customHeight="1">
      <c r="F887" s="6"/>
    </row>
    <row r="888" spans="6:6" ht="14" customHeight="1">
      <c r="F888" s="6"/>
    </row>
    <row r="889" spans="6:6" ht="14" customHeight="1">
      <c r="F889" s="6"/>
    </row>
    <row r="890" spans="6:6" ht="14" customHeight="1">
      <c r="F890" s="6"/>
    </row>
    <row r="891" spans="6:6" ht="14" customHeight="1">
      <c r="F891" s="6"/>
    </row>
    <row r="892" spans="6:6" ht="14" customHeight="1">
      <c r="F892" s="6"/>
    </row>
    <row r="893" spans="6:6" ht="14" customHeight="1">
      <c r="F893" s="6"/>
    </row>
    <row r="894" spans="6:6" ht="14" customHeight="1">
      <c r="F894" s="6"/>
    </row>
    <row r="895" spans="6:6" ht="14" customHeight="1">
      <c r="F895" s="6"/>
    </row>
    <row r="896" spans="6:6" ht="14" customHeight="1">
      <c r="F896" s="6"/>
    </row>
    <row r="897" spans="6:6" ht="14" customHeight="1">
      <c r="F897" s="6"/>
    </row>
    <row r="898" spans="6:6" ht="14" customHeight="1">
      <c r="F898" s="6"/>
    </row>
    <row r="899" spans="6:6" ht="14" customHeight="1">
      <c r="F899" s="6"/>
    </row>
    <row r="900" spans="6:6" ht="14" customHeight="1">
      <c r="F900" s="6"/>
    </row>
    <row r="901" spans="6:6" ht="14" customHeight="1">
      <c r="F901" s="6"/>
    </row>
    <row r="902" spans="6:6" ht="14" customHeight="1">
      <c r="F902" s="6"/>
    </row>
    <row r="903" spans="6:6" ht="14" customHeight="1">
      <c r="F903" s="6"/>
    </row>
    <row r="904" spans="6:6" ht="14" customHeight="1">
      <c r="F904" s="6"/>
    </row>
    <row r="905" spans="6:6" ht="14" customHeight="1">
      <c r="F905" s="6"/>
    </row>
    <row r="906" spans="6:6" ht="14" customHeight="1">
      <c r="F906" s="6"/>
    </row>
    <row r="907" spans="6:6" ht="14" customHeight="1">
      <c r="F907" s="6"/>
    </row>
    <row r="908" spans="6:6" ht="14" customHeight="1">
      <c r="F908" s="6"/>
    </row>
    <row r="909" spans="6:6" ht="14" customHeight="1">
      <c r="F909" s="6"/>
    </row>
    <row r="910" spans="6:6" ht="14" customHeight="1">
      <c r="F910" s="6"/>
    </row>
    <row r="911" spans="6:6" ht="14" customHeight="1">
      <c r="F911" s="6"/>
    </row>
    <row r="912" spans="6:6" ht="14" customHeight="1">
      <c r="F912" s="6"/>
    </row>
    <row r="913" spans="6:6" ht="14" customHeight="1">
      <c r="F913" s="6"/>
    </row>
    <row r="914" spans="6:6" ht="14" customHeight="1">
      <c r="F914" s="6"/>
    </row>
    <row r="915" spans="6:6" ht="14" customHeight="1">
      <c r="F915" s="6"/>
    </row>
    <row r="916" spans="6:6" ht="14" customHeight="1">
      <c r="F916" s="6"/>
    </row>
    <row r="917" spans="6:6" ht="14" customHeight="1">
      <c r="F917" s="6"/>
    </row>
    <row r="918" spans="6:6" ht="14" customHeight="1">
      <c r="F918" s="6"/>
    </row>
    <row r="919" spans="6:6" ht="14" customHeight="1">
      <c r="F919" s="6"/>
    </row>
    <row r="920" spans="6:6" ht="14" customHeight="1">
      <c r="F920" s="6"/>
    </row>
    <row r="921" spans="6:6" ht="14" customHeight="1">
      <c r="F921" s="6"/>
    </row>
    <row r="922" spans="6:6" ht="14" customHeight="1">
      <c r="F922" s="6"/>
    </row>
    <row r="923" spans="6:6" ht="14" customHeight="1">
      <c r="F923" s="6"/>
    </row>
    <row r="924" spans="6:6" ht="14" customHeight="1">
      <c r="F924" s="6"/>
    </row>
    <row r="925" spans="6:6" ht="14" customHeight="1">
      <c r="F925" s="6"/>
    </row>
    <row r="926" spans="6:6" ht="14" customHeight="1">
      <c r="F926" s="6"/>
    </row>
    <row r="927" spans="6:6" ht="14" customHeight="1">
      <c r="F927" s="6"/>
    </row>
    <row r="928" spans="6:6" ht="14" customHeight="1">
      <c r="F928" s="6"/>
    </row>
    <row r="929" spans="6:6" ht="14" customHeight="1">
      <c r="F929" s="6"/>
    </row>
    <row r="930" spans="6:6" ht="14" customHeight="1">
      <c r="F930" s="6"/>
    </row>
    <row r="931" spans="6:6" ht="14" customHeight="1">
      <c r="F931" s="6"/>
    </row>
    <row r="932" spans="6:6" ht="14" customHeight="1">
      <c r="F932" s="6"/>
    </row>
    <row r="933" spans="6:6" ht="14" customHeight="1">
      <c r="F933" s="6"/>
    </row>
    <row r="934" spans="6:6" ht="14" customHeight="1">
      <c r="F934" s="6"/>
    </row>
    <row r="935" spans="6:6" ht="14" customHeight="1">
      <c r="F935" s="6"/>
    </row>
    <row r="936" spans="6:6" ht="14" customHeight="1">
      <c r="F936" s="6"/>
    </row>
    <row r="937" spans="6:6" ht="14" customHeight="1">
      <c r="F937" s="6"/>
    </row>
    <row r="938" spans="6:6" ht="14" customHeight="1">
      <c r="F938" s="6"/>
    </row>
    <row r="939" spans="6:6" ht="14" customHeight="1">
      <c r="F939" s="6"/>
    </row>
    <row r="940" spans="6:6" ht="14" customHeight="1">
      <c r="F940" s="6"/>
    </row>
    <row r="941" spans="6:6" ht="14" customHeight="1">
      <c r="F941" s="6"/>
    </row>
    <row r="942" spans="6:6" ht="14" customHeight="1">
      <c r="F942" s="6"/>
    </row>
    <row r="943" spans="6:6" ht="14" customHeight="1">
      <c r="F943" s="6"/>
    </row>
    <row r="944" spans="6:6" ht="14" customHeight="1">
      <c r="F944" s="6"/>
    </row>
    <row r="945" spans="6:6" ht="14" customHeight="1">
      <c r="F945" s="6"/>
    </row>
    <row r="946" spans="6:6" ht="14" customHeight="1">
      <c r="F946" s="6"/>
    </row>
    <row r="947" spans="6:6" ht="14" customHeight="1">
      <c r="F947" s="6"/>
    </row>
    <row r="948" spans="6:6" ht="14" customHeight="1">
      <c r="F948" s="6"/>
    </row>
    <row r="949" spans="6:6" ht="14" customHeight="1">
      <c r="F949" s="6"/>
    </row>
    <row r="950" spans="6:6" ht="14" customHeight="1">
      <c r="F950" s="6"/>
    </row>
    <row r="951" spans="6:6" ht="14" customHeight="1">
      <c r="F951" s="6"/>
    </row>
    <row r="952" spans="6:6" ht="14" customHeight="1">
      <c r="F952" s="6"/>
    </row>
    <row r="953" spans="6:6" ht="14" customHeight="1">
      <c r="F953" s="6"/>
    </row>
    <row r="954" spans="6:6" ht="14" customHeight="1">
      <c r="F954" s="6"/>
    </row>
    <row r="955" spans="6:6" ht="14" customHeight="1">
      <c r="F955" s="6"/>
    </row>
    <row r="956" spans="6:6" ht="14" customHeight="1">
      <c r="F956" s="6"/>
    </row>
    <row r="957" spans="6:6" ht="14" customHeight="1">
      <c r="F957" s="6"/>
    </row>
    <row r="958" spans="6:6" ht="14" customHeight="1">
      <c r="F958" s="6"/>
    </row>
    <row r="959" spans="6:6" ht="14" customHeight="1">
      <c r="F959" s="6"/>
    </row>
    <row r="960" spans="6:6" ht="14" customHeight="1">
      <c r="F960" s="6"/>
    </row>
    <row r="961" spans="6:6" ht="14" customHeight="1">
      <c r="F961" s="6"/>
    </row>
    <row r="962" spans="6:6" ht="14" customHeight="1">
      <c r="F962" s="6"/>
    </row>
    <row r="963" spans="6:6" ht="14" customHeight="1">
      <c r="F963" s="6"/>
    </row>
    <row r="964" spans="6:6" ht="14" customHeight="1">
      <c r="F964" s="6"/>
    </row>
    <row r="965" spans="6:6" ht="14" customHeight="1">
      <c r="F965" s="6"/>
    </row>
    <row r="966" spans="6:6" ht="14" customHeight="1">
      <c r="F966" s="6"/>
    </row>
    <row r="967" spans="6:6" ht="14" customHeight="1">
      <c r="F967" s="6"/>
    </row>
    <row r="968" spans="6:6" ht="14" customHeight="1">
      <c r="F968" s="6"/>
    </row>
    <row r="969" spans="6:6" ht="14" customHeight="1">
      <c r="F969" s="6"/>
    </row>
    <row r="970" spans="6:6" ht="14" customHeight="1">
      <c r="F970" s="6"/>
    </row>
    <row r="971" spans="6:6" ht="14" customHeight="1">
      <c r="F971" s="6"/>
    </row>
    <row r="972" spans="6:6" ht="14" customHeight="1">
      <c r="F972" s="6"/>
    </row>
    <row r="973" spans="6:6" ht="14" customHeight="1">
      <c r="F973" s="6"/>
    </row>
    <row r="974" spans="6:6" ht="14" customHeight="1">
      <c r="F974" s="6"/>
    </row>
    <row r="975" spans="6:6" ht="14" customHeight="1">
      <c r="F975" s="6"/>
    </row>
    <row r="976" spans="6:6" ht="14" customHeight="1">
      <c r="F976" s="6"/>
    </row>
    <row r="977" spans="6:6" ht="14" customHeight="1">
      <c r="F977" s="6"/>
    </row>
    <row r="978" spans="6:6" ht="14" customHeight="1">
      <c r="F978" s="6"/>
    </row>
    <row r="979" spans="6:6" ht="14" customHeight="1">
      <c r="F979" s="6"/>
    </row>
    <row r="980" spans="6:6" ht="14" customHeight="1">
      <c r="F980" s="6"/>
    </row>
    <row r="981" spans="6:6" ht="14" customHeight="1">
      <c r="F981" s="6"/>
    </row>
    <row r="982" spans="6:6" ht="14" customHeight="1">
      <c r="F982" s="6"/>
    </row>
    <row r="983" spans="6:6" ht="14" customHeight="1">
      <c r="F983" s="6"/>
    </row>
    <row r="984" spans="6:6" ht="14" customHeight="1">
      <c r="F984" s="6"/>
    </row>
    <row r="985" spans="6:6" ht="14" customHeight="1">
      <c r="F985" s="6"/>
    </row>
    <row r="986" spans="6:6" ht="14" customHeight="1">
      <c r="F986" s="6"/>
    </row>
    <row r="987" spans="6:6" ht="14" customHeight="1">
      <c r="F987" s="6"/>
    </row>
    <row r="988" spans="6:6" ht="14" customHeight="1">
      <c r="F988" s="6"/>
    </row>
    <row r="989" spans="6:6" ht="14" customHeight="1">
      <c r="F989" s="6"/>
    </row>
    <row r="990" spans="6:6" ht="14" customHeight="1">
      <c r="F990" s="6"/>
    </row>
    <row r="991" spans="6:6" ht="14" customHeight="1">
      <c r="F991" s="6"/>
    </row>
    <row r="992" spans="6:6" ht="14" customHeight="1">
      <c r="F992" s="6"/>
    </row>
    <row r="993" spans="6:6" ht="14" customHeight="1">
      <c r="F993" s="6"/>
    </row>
    <row r="994" spans="6:6" ht="14" customHeight="1">
      <c r="F994" s="6"/>
    </row>
    <row r="995" spans="6:6" ht="14" customHeight="1">
      <c r="F995" s="6"/>
    </row>
    <row r="996" spans="6:6" ht="14" customHeight="1">
      <c r="F996" s="6"/>
    </row>
    <row r="997" spans="6:6" ht="14" customHeight="1">
      <c r="F997" s="6"/>
    </row>
    <row r="998" spans="6:6" ht="14" customHeight="1">
      <c r="F998" s="6"/>
    </row>
    <row r="999" spans="6:6" ht="14" customHeight="1">
      <c r="F999" s="6"/>
    </row>
    <row r="1000" spans="6:6" ht="14" customHeight="1">
      <c r="F1000" s="6"/>
    </row>
    <row r="1001" spans="6:6" ht="14" customHeight="1">
      <c r="F1001" s="6"/>
    </row>
    <row r="1002" spans="6:6" ht="14" customHeight="1">
      <c r="F1002" s="6"/>
    </row>
    <row r="1003" spans="6:6" ht="14" customHeight="1">
      <c r="F1003" s="6"/>
    </row>
    <row r="1004" spans="6:6" ht="14" customHeight="1">
      <c r="F1004" s="6"/>
    </row>
    <row r="1005" spans="6:6" ht="14" customHeight="1">
      <c r="F1005" s="6"/>
    </row>
    <row r="1006" spans="6:6" ht="14" customHeight="1">
      <c r="F1006" s="6"/>
    </row>
    <row r="1007" spans="6:6" ht="14" customHeight="1">
      <c r="F1007" s="6"/>
    </row>
    <row r="1008" spans="6:6" ht="14" customHeight="1">
      <c r="F1008" s="6"/>
    </row>
    <row r="1009" spans="6:6" ht="14" customHeight="1">
      <c r="F1009" s="6"/>
    </row>
    <row r="1010" spans="6:6" ht="14" customHeight="1">
      <c r="F1010" s="6"/>
    </row>
    <row r="1011" spans="6:6" ht="14" customHeight="1">
      <c r="F1011" s="6"/>
    </row>
    <row r="1012" spans="6:6" ht="14" customHeight="1">
      <c r="F1012" s="6"/>
    </row>
    <row r="1013" spans="6:6" ht="14" customHeight="1">
      <c r="F1013" s="6"/>
    </row>
    <row r="1014" spans="6:6" ht="14" customHeight="1">
      <c r="F1014" s="6"/>
    </row>
    <row r="1015" spans="6:6" ht="14" customHeight="1">
      <c r="F1015" s="6"/>
    </row>
    <row r="1016" spans="6:6" ht="14" customHeight="1">
      <c r="F1016" s="6"/>
    </row>
    <row r="1017" spans="6:6" ht="14" customHeight="1">
      <c r="F1017" s="6"/>
    </row>
    <row r="1018" spans="6:6" ht="14" customHeight="1">
      <c r="F1018" s="6"/>
    </row>
    <row r="1019" spans="6:6" ht="14" customHeight="1">
      <c r="F1019" s="6"/>
    </row>
    <row r="1020" spans="6:6" ht="14" customHeight="1">
      <c r="F1020" s="6"/>
    </row>
    <row r="1021" spans="6:6" ht="14" customHeight="1">
      <c r="F1021" s="6"/>
    </row>
    <row r="1022" spans="6:6" ht="14" customHeight="1">
      <c r="F1022" s="6"/>
    </row>
    <row r="1023" spans="6:6" ht="14" customHeight="1">
      <c r="F1023" s="6"/>
    </row>
    <row r="1024" spans="6:6" ht="14" customHeight="1">
      <c r="F1024" s="6"/>
    </row>
    <row r="1025" spans="6:6" ht="14" customHeight="1">
      <c r="F1025" s="6"/>
    </row>
    <row r="1026" spans="6:6" ht="14" customHeight="1">
      <c r="F1026" s="6"/>
    </row>
    <row r="1027" spans="6:6" ht="14" customHeight="1">
      <c r="F1027" s="6"/>
    </row>
    <row r="1028" spans="6:6" ht="14" customHeight="1">
      <c r="F1028" s="6"/>
    </row>
    <row r="1029" spans="6:6" ht="14" customHeight="1">
      <c r="F1029" s="6"/>
    </row>
    <row r="1030" spans="6:6" ht="14" customHeight="1">
      <c r="F1030" s="6"/>
    </row>
    <row r="1031" spans="6:6" ht="14" customHeight="1">
      <c r="F1031" s="6"/>
    </row>
    <row r="1032" spans="6:6" ht="14" customHeight="1">
      <c r="F1032" s="6"/>
    </row>
    <row r="1033" spans="6:6" ht="14" customHeight="1">
      <c r="F1033" s="6"/>
    </row>
    <row r="1034" spans="6:6" ht="14" customHeight="1">
      <c r="F1034" s="6"/>
    </row>
    <row r="1035" spans="6:6" ht="14" customHeight="1">
      <c r="F1035" s="6"/>
    </row>
    <row r="1036" spans="6:6" ht="14" customHeight="1">
      <c r="F1036" s="6"/>
    </row>
    <row r="1037" spans="6:6" ht="14" customHeight="1">
      <c r="F1037" s="6"/>
    </row>
    <row r="1038" spans="6:6" ht="14" customHeight="1">
      <c r="F1038" s="6"/>
    </row>
    <row r="1039" spans="6:6" ht="14" customHeight="1">
      <c r="F1039" s="6"/>
    </row>
    <row r="1040" spans="6:6" ht="14" customHeight="1">
      <c r="F1040" s="6"/>
    </row>
    <row r="1041" spans="6:6" ht="14" customHeight="1">
      <c r="F1041" s="6"/>
    </row>
    <row r="1042" spans="6:6" ht="14" customHeight="1">
      <c r="F1042" s="6"/>
    </row>
    <row r="1043" spans="6:6" ht="14" customHeight="1">
      <c r="F1043" s="6"/>
    </row>
    <row r="1044" spans="6:6" ht="14" customHeight="1">
      <c r="F1044" s="6"/>
    </row>
    <row r="1045" spans="6:6" ht="14" customHeight="1">
      <c r="F1045" s="6"/>
    </row>
    <row r="1046" spans="6:6" ht="14" customHeight="1">
      <c r="F1046" s="6"/>
    </row>
    <row r="1047" spans="6:6" ht="14" customHeight="1">
      <c r="F1047" s="6"/>
    </row>
    <row r="1048" spans="6:6" ht="14" customHeight="1">
      <c r="F1048" s="6"/>
    </row>
    <row r="1049" spans="6:6" ht="14" customHeight="1">
      <c r="F1049" s="6"/>
    </row>
    <row r="1050" spans="6:6" ht="14" customHeight="1">
      <c r="F1050" s="6"/>
    </row>
    <row r="1051" spans="6:6" ht="14" customHeight="1">
      <c r="F1051" s="6"/>
    </row>
    <row r="1052" spans="6:6" ht="14" customHeight="1">
      <c r="F1052" s="6"/>
    </row>
    <row r="1053" spans="6:6" ht="14" customHeight="1">
      <c r="F1053" s="6"/>
    </row>
    <row r="1054" spans="6:6" ht="14" customHeight="1">
      <c r="F1054" s="6"/>
    </row>
    <row r="1055" spans="6:6" ht="14" customHeight="1">
      <c r="F1055" s="6"/>
    </row>
    <row r="1056" spans="6:6" ht="14" customHeight="1">
      <c r="F1056" s="6"/>
    </row>
    <row r="1057" spans="6:6" ht="14" customHeight="1">
      <c r="F1057" s="6"/>
    </row>
    <row r="1058" spans="6:6" ht="14" customHeight="1">
      <c r="F1058" s="6"/>
    </row>
    <row r="1059" spans="6:6" ht="14" customHeight="1">
      <c r="F1059" s="6"/>
    </row>
    <row r="1060" spans="6:6" ht="14" customHeight="1">
      <c r="F1060" s="6"/>
    </row>
    <row r="1061" spans="6:6" ht="14" customHeight="1">
      <c r="F1061" s="6"/>
    </row>
    <row r="1062" spans="6:6" ht="14" customHeight="1">
      <c r="F1062" s="6"/>
    </row>
    <row r="1063" spans="6:6" ht="14" customHeight="1">
      <c r="F1063" s="6"/>
    </row>
    <row r="1064" spans="6:6" ht="14" customHeight="1">
      <c r="F1064" s="6"/>
    </row>
    <row r="1065" spans="6:6" ht="14" customHeight="1">
      <c r="F1065" s="6"/>
    </row>
    <row r="1066" spans="6:6" ht="14" customHeight="1">
      <c r="F1066" s="6"/>
    </row>
    <row r="1067" spans="6:6" ht="14" customHeight="1">
      <c r="F1067" s="6"/>
    </row>
    <row r="1068" spans="6:6" ht="14" customHeight="1">
      <c r="F1068" s="6"/>
    </row>
    <row r="1069" spans="6:6" ht="14" customHeight="1">
      <c r="F1069" s="6"/>
    </row>
    <row r="1070" spans="6:6" ht="14" customHeight="1">
      <c r="F1070" s="6"/>
    </row>
    <row r="1071" spans="6:6" ht="14" customHeight="1">
      <c r="F1071" s="6"/>
    </row>
    <row r="1072" spans="6:6" ht="14" customHeight="1">
      <c r="F1072" s="6"/>
    </row>
    <row r="1073" spans="6:6" ht="14" customHeight="1">
      <c r="F1073" s="6"/>
    </row>
    <row r="1074" spans="6:6" ht="14" customHeight="1">
      <c r="F1074" s="6"/>
    </row>
    <row r="1075" spans="6:6" ht="14" customHeight="1">
      <c r="F1075" s="6"/>
    </row>
    <row r="1076" spans="6:6" ht="14" customHeight="1">
      <c r="F1076" s="6"/>
    </row>
    <row r="1077" spans="6:6" ht="14" customHeight="1">
      <c r="F1077" s="6"/>
    </row>
    <row r="1078" spans="6:6" ht="14" customHeight="1">
      <c r="F1078" s="6"/>
    </row>
    <row r="1079" spans="6:6" ht="14" customHeight="1">
      <c r="F1079" s="6"/>
    </row>
    <row r="1080" spans="6:6" ht="14" customHeight="1">
      <c r="F1080" s="6"/>
    </row>
    <row r="1081" spans="6:6" ht="14" customHeight="1">
      <c r="F1081" s="6"/>
    </row>
    <row r="1082" spans="6:6" ht="14" customHeight="1">
      <c r="F1082" s="6"/>
    </row>
    <row r="1083" spans="6:6" ht="14" customHeight="1">
      <c r="F1083" s="6"/>
    </row>
    <row r="1084" spans="6:6" ht="14" customHeight="1">
      <c r="F1084" s="6"/>
    </row>
    <row r="1085" spans="6:6" ht="14" customHeight="1">
      <c r="F1085" s="6"/>
    </row>
    <row r="1086" spans="6:6" ht="14" customHeight="1">
      <c r="F1086" s="6"/>
    </row>
    <row r="1087" spans="6:6" ht="14" customHeight="1">
      <c r="F1087" s="6"/>
    </row>
    <row r="1088" spans="6:6" ht="14" customHeight="1">
      <c r="F1088" s="6"/>
    </row>
    <row r="1089" spans="6:6" ht="14" customHeight="1">
      <c r="F1089" s="6"/>
    </row>
    <row r="1090" spans="6:6" ht="14" customHeight="1">
      <c r="F1090" s="6"/>
    </row>
    <row r="1091" spans="6:6" ht="14" customHeight="1">
      <c r="F1091" s="6"/>
    </row>
    <row r="1092" spans="6:6" ht="14" customHeight="1">
      <c r="F1092" s="6"/>
    </row>
    <row r="1093" spans="6:6" ht="14" customHeight="1">
      <c r="F1093" s="6"/>
    </row>
    <row r="1094" spans="6:6" ht="14" customHeight="1">
      <c r="F1094" s="6"/>
    </row>
    <row r="1095" spans="6:6" ht="14" customHeight="1">
      <c r="F1095" s="6"/>
    </row>
    <row r="1096" spans="6:6" ht="14" customHeight="1">
      <c r="F1096" s="6"/>
    </row>
    <row r="1097" spans="6:6" ht="14" customHeight="1">
      <c r="F1097" s="6"/>
    </row>
    <row r="1098" spans="6:6" ht="14" customHeight="1">
      <c r="F1098" s="6"/>
    </row>
    <row r="1099" spans="6:6" ht="14" customHeight="1">
      <c r="F1099" s="6"/>
    </row>
    <row r="1100" spans="6:6" ht="14" customHeight="1">
      <c r="F1100" s="6"/>
    </row>
    <row r="1101" spans="6:6" ht="14" customHeight="1">
      <c r="F1101" s="6"/>
    </row>
    <row r="1102" spans="6:6" ht="14" customHeight="1">
      <c r="F1102" s="6"/>
    </row>
    <row r="1103" spans="6:6" ht="14" customHeight="1">
      <c r="F1103" s="6"/>
    </row>
    <row r="1104" spans="6:6" ht="14" customHeight="1">
      <c r="F1104" s="6"/>
    </row>
    <row r="1105" spans="6:6" ht="14" customHeight="1">
      <c r="F1105" s="6"/>
    </row>
    <row r="1106" spans="6:6" ht="14" customHeight="1">
      <c r="F1106" s="6"/>
    </row>
    <row r="1107" spans="6:6" ht="14" customHeight="1">
      <c r="F1107" s="6"/>
    </row>
    <row r="1108" spans="6:6" ht="14" customHeight="1">
      <c r="F1108" s="6"/>
    </row>
    <row r="1109" spans="6:6" ht="14" customHeight="1">
      <c r="F1109" s="6"/>
    </row>
    <row r="1110" spans="6:6" ht="14" customHeight="1">
      <c r="F1110" s="6"/>
    </row>
    <row r="1111" spans="6:6" ht="14" customHeight="1">
      <c r="F1111" s="6"/>
    </row>
    <row r="1112" spans="6:6" ht="14" customHeight="1">
      <c r="F1112" s="6"/>
    </row>
    <row r="1113" spans="6:6" ht="14" customHeight="1">
      <c r="F1113" s="6"/>
    </row>
    <row r="1114" spans="6:6" ht="14" customHeight="1">
      <c r="F1114" s="6"/>
    </row>
    <row r="1115" spans="6:6" ht="14" customHeight="1">
      <c r="F1115" s="6"/>
    </row>
    <row r="1116" spans="6:6" ht="14" customHeight="1">
      <c r="F1116" s="6"/>
    </row>
    <row r="1117" spans="6:6" ht="14" customHeight="1">
      <c r="F1117" s="6"/>
    </row>
    <row r="1118" spans="6:6" ht="14" customHeight="1">
      <c r="F1118" s="6"/>
    </row>
    <row r="1119" spans="6:6" ht="14" customHeight="1">
      <c r="F1119" s="6"/>
    </row>
    <row r="1120" spans="6:6" ht="14" customHeight="1">
      <c r="F1120" s="6"/>
    </row>
    <row r="1121" spans="6:6" ht="14" customHeight="1">
      <c r="F1121" s="6"/>
    </row>
    <row r="1122" spans="6:6" ht="14" customHeight="1">
      <c r="F1122" s="6"/>
    </row>
    <row r="1123" spans="6:6" ht="14" customHeight="1">
      <c r="F1123" s="6"/>
    </row>
    <row r="1124" spans="6:6" ht="14" customHeight="1">
      <c r="F1124" s="6"/>
    </row>
    <row r="1125" spans="6:6" ht="14" customHeight="1">
      <c r="F1125" s="6"/>
    </row>
    <row r="1126" spans="6:6" ht="14" customHeight="1">
      <c r="F1126" s="6"/>
    </row>
    <row r="1127" spans="6:6" ht="14" customHeight="1">
      <c r="F1127" s="6"/>
    </row>
    <row r="1128" spans="6:6" ht="14" customHeight="1">
      <c r="F1128" s="6"/>
    </row>
    <row r="1129" spans="6:6" ht="14" customHeight="1">
      <c r="F1129" s="6"/>
    </row>
    <row r="1130" spans="6:6" ht="14" customHeight="1">
      <c r="F1130" s="6"/>
    </row>
    <row r="1131" spans="6:6" ht="14" customHeight="1">
      <c r="F1131" s="6"/>
    </row>
    <row r="1132" spans="6:6" ht="14" customHeight="1">
      <c r="F1132" s="6"/>
    </row>
    <row r="1133" spans="6:6" ht="14" customHeight="1">
      <c r="F1133" s="6"/>
    </row>
    <row r="1134" spans="6:6" ht="14" customHeight="1">
      <c r="F1134" s="6"/>
    </row>
    <row r="1135" spans="6:6" ht="14" customHeight="1">
      <c r="F1135" s="6"/>
    </row>
    <row r="1136" spans="6:6" ht="14" customHeight="1">
      <c r="F1136" s="6"/>
    </row>
    <row r="1137" spans="6:6" ht="14" customHeight="1">
      <c r="F1137" s="6"/>
    </row>
    <row r="1138" spans="6:6" ht="14" customHeight="1">
      <c r="F1138" s="6"/>
    </row>
    <row r="1139" spans="6:6" ht="14" customHeight="1">
      <c r="F1139" s="6"/>
    </row>
    <row r="1140" spans="6:6" ht="14" customHeight="1">
      <c r="F1140" s="6"/>
    </row>
    <row r="1141" spans="6:6" ht="14" customHeight="1">
      <c r="F1141" s="6"/>
    </row>
    <row r="1142" spans="6:6" ht="14" customHeight="1">
      <c r="F1142" s="6"/>
    </row>
    <row r="1143" spans="6:6" ht="14" customHeight="1">
      <c r="F1143" s="6"/>
    </row>
    <row r="1144" spans="6:6" ht="14" customHeight="1">
      <c r="F1144" s="6"/>
    </row>
    <row r="1145" spans="6:6" ht="14" customHeight="1">
      <c r="F1145" s="6"/>
    </row>
    <row r="1146" spans="6:6" ht="14" customHeight="1">
      <c r="F1146" s="6"/>
    </row>
    <row r="1147" spans="6:6" ht="14" customHeight="1">
      <c r="F1147" s="6"/>
    </row>
    <row r="1148" spans="6:6" ht="14" customHeight="1">
      <c r="F1148" s="6"/>
    </row>
    <row r="1149" spans="6:6" ht="14" customHeight="1">
      <c r="F1149" s="6"/>
    </row>
    <row r="1150" spans="6:6" ht="14" customHeight="1">
      <c r="F1150" s="6"/>
    </row>
    <row r="1151" spans="6:6" ht="14" customHeight="1">
      <c r="F1151" s="6"/>
    </row>
    <row r="1152" spans="6:6" ht="14" customHeight="1">
      <c r="F1152" s="6"/>
    </row>
    <row r="1153" spans="6:6" ht="14" customHeight="1">
      <c r="F1153" s="6"/>
    </row>
    <row r="1154" spans="6:6" ht="14" customHeight="1">
      <c r="F1154" s="6"/>
    </row>
    <row r="1155" spans="6:6" ht="14" customHeight="1">
      <c r="F1155" s="6"/>
    </row>
    <row r="1156" spans="6:6" ht="14" customHeight="1">
      <c r="F1156" s="6"/>
    </row>
    <row r="1157" spans="6:6" ht="14" customHeight="1">
      <c r="F1157" s="6"/>
    </row>
    <row r="1158" spans="6:6" ht="14" customHeight="1">
      <c r="F1158" s="6"/>
    </row>
    <row r="1159" spans="6:6" ht="14" customHeight="1">
      <c r="F1159" s="6"/>
    </row>
    <row r="1160" spans="6:6" ht="14" customHeight="1">
      <c r="F1160" s="6"/>
    </row>
    <row r="1161" spans="6:6" ht="14" customHeight="1">
      <c r="F1161" s="6"/>
    </row>
    <row r="1162" spans="6:6" ht="14" customHeight="1">
      <c r="F1162" s="6"/>
    </row>
    <row r="1163" spans="6:6" ht="14" customHeight="1">
      <c r="F1163" s="6"/>
    </row>
    <row r="1164" spans="6:6" ht="14" customHeight="1">
      <c r="F1164" s="6"/>
    </row>
    <row r="1165" spans="6:6" ht="14" customHeight="1">
      <c r="F1165" s="6"/>
    </row>
    <row r="1166" spans="6:6" ht="14" customHeight="1">
      <c r="F1166" s="6"/>
    </row>
    <row r="1167" spans="6:6" ht="14" customHeight="1">
      <c r="F1167" s="6"/>
    </row>
    <row r="1168" spans="6:6" ht="14" customHeight="1">
      <c r="F1168" s="6"/>
    </row>
    <row r="1169" spans="6:6" ht="14" customHeight="1">
      <c r="F1169" s="6"/>
    </row>
    <row r="1170" spans="6:6" ht="14" customHeight="1">
      <c r="F1170" s="6"/>
    </row>
    <row r="1171" spans="6:6" ht="14" customHeight="1">
      <c r="F1171" s="6"/>
    </row>
    <row r="1172" spans="6:6" ht="14" customHeight="1">
      <c r="F1172" s="6"/>
    </row>
    <row r="1173" spans="6:6" ht="14" customHeight="1">
      <c r="F1173" s="6"/>
    </row>
    <row r="1174" spans="6:6" ht="14" customHeight="1">
      <c r="F1174" s="6"/>
    </row>
    <row r="1175" spans="6:6" ht="14" customHeight="1">
      <c r="F1175" s="6"/>
    </row>
    <row r="1176" spans="6:6" ht="14" customHeight="1">
      <c r="F1176" s="6"/>
    </row>
    <row r="1177" spans="6:6" ht="14" customHeight="1">
      <c r="F1177" s="6"/>
    </row>
    <row r="1178" spans="6:6" ht="14" customHeight="1">
      <c r="F1178" s="6"/>
    </row>
    <row r="1179" spans="6:6" ht="14" customHeight="1">
      <c r="F1179" s="6"/>
    </row>
    <row r="1180" spans="6:6" ht="14" customHeight="1">
      <c r="F1180" s="6"/>
    </row>
    <row r="1181" spans="6:6" ht="14" customHeight="1">
      <c r="F1181" s="6"/>
    </row>
    <row r="1182" spans="6:6" ht="14" customHeight="1">
      <c r="F1182" s="6"/>
    </row>
    <row r="1183" spans="6:6" ht="14" customHeight="1">
      <c r="F1183" s="6"/>
    </row>
    <row r="1184" spans="6:6" ht="14" customHeight="1">
      <c r="F1184" s="6"/>
    </row>
    <row r="1185" spans="6:6" ht="14" customHeight="1">
      <c r="F1185" s="6"/>
    </row>
    <row r="1186" spans="6:6" ht="14" customHeight="1">
      <c r="F1186" s="6"/>
    </row>
    <row r="1187" spans="6:6" ht="14" customHeight="1"/>
    <row r="1188" spans="6:6" ht="14" customHeight="1"/>
    <row r="1189" spans="6:6" ht="14" customHeight="1"/>
    <row r="1190" spans="6:6" ht="14" customHeight="1"/>
    <row r="1191" spans="6:6" ht="14" customHeight="1"/>
    <row r="1192" spans="6:6" ht="14" customHeight="1"/>
    <row r="1193" spans="6:6" ht="14" customHeight="1"/>
    <row r="1194" spans="6:6" ht="14" customHeight="1"/>
    <row r="1195" spans="6:6" ht="14" customHeight="1"/>
    <row r="1196" spans="6:6" ht="14" customHeight="1"/>
    <row r="1197" spans="6:6" ht="14" customHeight="1"/>
    <row r="1198" spans="6:6" ht="14" customHeight="1"/>
    <row r="1199" spans="6:6" ht="14" customHeight="1"/>
    <row r="1200" spans="6:6" ht="14" customHeight="1"/>
    <row r="1201" ht="14" customHeight="1"/>
    <row r="1202" ht="14" customHeight="1"/>
    <row r="1203" ht="14" customHeight="1"/>
    <row r="1204" ht="14" customHeight="1"/>
    <row r="1205" ht="14" customHeight="1"/>
    <row r="1206" ht="14" customHeight="1"/>
    <row r="1207" ht="14" customHeight="1"/>
    <row r="1208" ht="14" customHeight="1"/>
    <row r="1209" ht="14" customHeight="1"/>
    <row r="1210" ht="14" customHeight="1"/>
    <row r="1211" ht="14" customHeight="1"/>
    <row r="1212" ht="14" customHeight="1"/>
    <row r="1213" ht="14" customHeight="1"/>
    <row r="1214" ht="14" customHeight="1"/>
    <row r="1215" ht="14" customHeight="1"/>
    <row r="1216" ht="14" customHeight="1"/>
    <row r="1217" ht="14" customHeight="1"/>
    <row r="1218" ht="14" customHeight="1"/>
    <row r="1219" ht="14" customHeight="1"/>
    <row r="1220" ht="14" customHeight="1"/>
    <row r="1221" ht="14" customHeight="1"/>
    <row r="1222" ht="14" customHeight="1"/>
    <row r="1223" ht="14" customHeight="1"/>
    <row r="1224" ht="14" customHeight="1"/>
    <row r="1225" ht="14" customHeight="1"/>
    <row r="1226" ht="14" customHeight="1"/>
    <row r="1227" ht="14" customHeight="1"/>
    <row r="1228" ht="14" customHeight="1"/>
    <row r="1229" ht="14" customHeight="1"/>
    <row r="1230" ht="14" customHeight="1"/>
    <row r="1231" ht="14" customHeight="1"/>
    <row r="1232" ht="14" customHeight="1"/>
    <row r="1233" ht="14" customHeight="1"/>
    <row r="1234" ht="14" customHeight="1"/>
    <row r="1235" ht="14" customHeight="1"/>
    <row r="1236" ht="14" customHeight="1"/>
    <row r="1237" ht="14" customHeight="1"/>
    <row r="1238" ht="14" customHeight="1"/>
    <row r="1239" ht="14" customHeight="1"/>
    <row r="1240" ht="14" customHeight="1"/>
    <row r="1241" ht="14" customHeight="1"/>
    <row r="1242" ht="14" customHeight="1"/>
    <row r="1243" ht="14" customHeight="1"/>
    <row r="1244" ht="14" customHeight="1"/>
    <row r="1245" ht="14" customHeight="1"/>
    <row r="1246" ht="14" customHeight="1"/>
    <row r="1247" ht="14" customHeight="1"/>
    <row r="1248" ht="14" customHeight="1"/>
    <row r="1249" ht="14" customHeight="1"/>
    <row r="1250" ht="14" customHeight="1"/>
    <row r="1251" ht="14" customHeight="1"/>
    <row r="1252" ht="14" customHeight="1"/>
    <row r="1253" ht="14" customHeight="1"/>
    <row r="1254" ht="14" customHeight="1"/>
    <row r="1255" ht="14" customHeight="1"/>
    <row r="1256" ht="14" customHeight="1"/>
    <row r="1257" ht="14" customHeight="1"/>
    <row r="1258" ht="14" customHeight="1"/>
    <row r="1259" ht="14" customHeight="1"/>
    <row r="1260" ht="14" customHeight="1"/>
    <row r="1261" ht="14" customHeight="1"/>
    <row r="1262" ht="14" customHeight="1"/>
    <row r="1263" ht="14" customHeight="1"/>
    <row r="1264" ht="14" customHeight="1"/>
    <row r="1265" ht="14" customHeight="1"/>
    <row r="1266" ht="14" customHeight="1"/>
    <row r="1267" ht="14" customHeight="1"/>
    <row r="1268" ht="14" customHeight="1"/>
    <row r="1269" ht="14" customHeight="1"/>
    <row r="1270" ht="14" customHeight="1"/>
    <row r="1271" ht="14" customHeight="1"/>
    <row r="1272" ht="14" customHeight="1"/>
    <row r="1273" ht="14" customHeight="1"/>
    <row r="1274" ht="14" customHeight="1"/>
    <row r="1275" ht="14" customHeight="1"/>
    <row r="1276" ht="14" customHeight="1"/>
    <row r="1277" ht="14" customHeight="1"/>
    <row r="1278" ht="14" customHeight="1"/>
    <row r="1279" ht="14" customHeight="1"/>
    <row r="1280" ht="14" customHeight="1"/>
    <row r="1281" ht="14" customHeight="1"/>
    <row r="1282" ht="14" customHeight="1"/>
    <row r="1283" ht="14" customHeight="1"/>
    <row r="1284" ht="14" customHeight="1"/>
    <row r="1285" ht="14" customHeight="1"/>
    <row r="1286" ht="14" customHeight="1"/>
    <row r="1287" ht="14" customHeight="1"/>
    <row r="1288" ht="14" customHeight="1"/>
    <row r="1289" ht="14" customHeight="1"/>
    <row r="1290" ht="14" customHeight="1"/>
    <row r="1291" ht="14" customHeight="1"/>
    <row r="1292" ht="14" customHeight="1"/>
    <row r="1293" ht="14" customHeight="1"/>
    <row r="1294" ht="14" customHeight="1"/>
    <row r="1295" ht="14" customHeight="1"/>
    <row r="1296" ht="14" customHeight="1"/>
    <row r="1297" ht="14" customHeight="1"/>
    <row r="1298" ht="14" customHeight="1"/>
    <row r="1299" ht="14" customHeight="1"/>
    <row r="1300" ht="14" customHeight="1"/>
    <row r="1301" ht="14" customHeight="1"/>
    <row r="1302" ht="14" customHeight="1"/>
    <row r="1303" ht="14" customHeight="1"/>
    <row r="1304" ht="14" customHeight="1"/>
    <row r="1305" ht="14" customHeight="1"/>
    <row r="1306" ht="14" customHeight="1"/>
    <row r="1307" ht="14" customHeight="1"/>
    <row r="1308" ht="14" customHeight="1"/>
    <row r="1309" ht="14" customHeight="1"/>
    <row r="1310" ht="14" customHeight="1"/>
    <row r="1311" ht="14" customHeight="1"/>
    <row r="1312" ht="14" customHeight="1"/>
    <row r="1313" ht="14" customHeight="1"/>
    <row r="1314" ht="14" customHeight="1"/>
    <row r="1315" ht="14" customHeight="1"/>
    <row r="1316" ht="14" customHeight="1"/>
    <row r="1317" ht="14" customHeight="1"/>
    <row r="1318" ht="14" customHeight="1"/>
    <row r="1319" ht="14" customHeight="1"/>
    <row r="1320" ht="14" customHeight="1"/>
    <row r="1321" ht="14" customHeight="1"/>
    <row r="1322" ht="14" customHeight="1"/>
    <row r="1323" ht="14" customHeight="1"/>
    <row r="1324" ht="14" customHeight="1"/>
    <row r="1325" ht="14" customHeight="1"/>
    <row r="1326" ht="14" customHeight="1"/>
    <row r="1327" ht="14" customHeight="1"/>
    <row r="1328" ht="14" customHeight="1"/>
    <row r="1329" ht="14" customHeight="1"/>
    <row r="1330" ht="14" customHeight="1"/>
    <row r="1331" ht="14" customHeight="1"/>
    <row r="1332" ht="14" customHeight="1"/>
    <row r="1333" ht="14" customHeight="1"/>
    <row r="1334" ht="14" customHeight="1"/>
    <row r="1335" ht="14" customHeight="1"/>
    <row r="1336" ht="14" customHeight="1"/>
    <row r="1337" ht="14" customHeight="1"/>
    <row r="1338" ht="14" customHeight="1"/>
    <row r="1339" ht="14" customHeight="1"/>
    <row r="1340" ht="14" customHeight="1"/>
    <row r="1341" ht="14" customHeight="1"/>
    <row r="1342" ht="14" customHeight="1"/>
    <row r="1343" ht="14" customHeight="1"/>
    <row r="1344" ht="14" customHeight="1"/>
    <row r="1345" ht="14" customHeight="1"/>
    <row r="1346" ht="14" customHeight="1"/>
    <row r="1347" ht="14" customHeight="1"/>
    <row r="1348" ht="14" customHeight="1"/>
    <row r="1349" ht="14" customHeight="1"/>
    <row r="1350" ht="14" customHeight="1"/>
    <row r="1351" ht="14" customHeight="1"/>
    <row r="1352" ht="14" customHeight="1"/>
    <row r="1353" ht="14" customHeight="1"/>
    <row r="1354" ht="14" customHeight="1"/>
    <row r="1355" ht="14" customHeight="1"/>
    <row r="1356" ht="14" customHeight="1"/>
    <row r="1357" ht="14" customHeight="1"/>
    <row r="1358" ht="14" customHeight="1"/>
    <row r="1359" ht="14" customHeight="1"/>
    <row r="1360" ht="14" customHeight="1"/>
    <row r="1361" ht="14" customHeight="1"/>
    <row r="1362" ht="14" customHeight="1"/>
    <row r="1363" ht="14" customHeight="1"/>
    <row r="1364" ht="14" customHeight="1"/>
    <row r="1365" ht="14" customHeight="1"/>
    <row r="1366" ht="14" customHeight="1"/>
    <row r="1367" ht="14" customHeight="1"/>
    <row r="1368" ht="14" customHeight="1"/>
    <row r="1369" ht="14" customHeight="1"/>
    <row r="1370" ht="14" customHeight="1"/>
    <row r="1371" ht="14" customHeight="1"/>
    <row r="1372" ht="14" customHeight="1"/>
    <row r="1373" ht="14" customHeight="1"/>
    <row r="1374" ht="14" customHeight="1"/>
    <row r="1375" ht="14" customHeight="1"/>
    <row r="1376" ht="14" customHeight="1"/>
    <row r="1377" ht="14" customHeight="1"/>
    <row r="1378" ht="14" customHeight="1"/>
    <row r="1379" ht="14" customHeight="1"/>
    <row r="1380" ht="14" customHeight="1"/>
    <row r="1381" ht="14" customHeight="1"/>
    <row r="1382" ht="14" customHeight="1"/>
    <row r="1383" ht="14" customHeight="1"/>
    <row r="1384" ht="14" customHeight="1"/>
    <row r="1385" ht="14" customHeight="1"/>
    <row r="1386" ht="14" customHeight="1"/>
    <row r="1387" ht="14" customHeight="1"/>
    <row r="1388" ht="14" customHeight="1"/>
    <row r="1389" ht="14" customHeight="1"/>
    <row r="1390" ht="14" customHeight="1"/>
    <row r="1391" ht="14" customHeight="1"/>
    <row r="1392" ht="14" customHeight="1"/>
    <row r="1393" ht="14" customHeight="1"/>
    <row r="1394" ht="14" customHeight="1"/>
    <row r="1395" ht="14" customHeight="1"/>
    <row r="1396" ht="14" customHeight="1"/>
    <row r="1397" ht="14" customHeight="1"/>
    <row r="1398" ht="14" customHeight="1"/>
    <row r="1399" ht="14" customHeight="1"/>
    <row r="1400" ht="14" customHeight="1"/>
    <row r="1401" ht="14" customHeight="1"/>
    <row r="1402" ht="14" customHeight="1"/>
    <row r="1403" ht="14" customHeight="1"/>
    <row r="1404" ht="14" customHeight="1"/>
    <row r="1405" ht="14" customHeight="1"/>
    <row r="1406" ht="14" customHeight="1"/>
    <row r="1407" ht="14" customHeight="1"/>
    <row r="1408" ht="14" customHeight="1"/>
    <row r="1409" ht="14" customHeight="1"/>
    <row r="1410" ht="14" customHeight="1"/>
    <row r="1411" ht="14" customHeight="1"/>
    <row r="1412" ht="14" customHeight="1"/>
    <row r="1413" ht="14" customHeight="1"/>
    <row r="1414" ht="14" customHeight="1"/>
    <row r="1415" ht="14" customHeight="1"/>
    <row r="1416" ht="14" customHeight="1"/>
    <row r="1417" ht="14" customHeight="1"/>
    <row r="1418" ht="14" customHeight="1"/>
    <row r="1419" ht="14" customHeight="1"/>
    <row r="1420" ht="14" customHeight="1"/>
    <row r="1421" ht="14" customHeight="1"/>
    <row r="1422" ht="14" customHeight="1"/>
    <row r="1423" ht="14" customHeight="1"/>
    <row r="1424" ht="14" customHeight="1"/>
    <row r="1425" ht="14" customHeight="1"/>
    <row r="1426" ht="14" customHeight="1"/>
    <row r="1427" ht="14" customHeight="1"/>
    <row r="1428" ht="14" customHeight="1"/>
    <row r="1429" ht="14" customHeight="1"/>
    <row r="1430" ht="14" customHeight="1"/>
    <row r="1431" ht="14" customHeight="1"/>
    <row r="1432" ht="14" customHeight="1"/>
    <row r="1433" ht="14" customHeight="1"/>
    <row r="1434" ht="14" customHeight="1"/>
    <row r="1435" ht="14" customHeight="1"/>
    <row r="1436" ht="14" customHeight="1"/>
    <row r="1437" ht="14" customHeight="1"/>
    <row r="1438" ht="14" customHeight="1"/>
    <row r="1439" ht="14" customHeight="1"/>
    <row r="1440" ht="14" customHeight="1"/>
    <row r="1441" ht="14" customHeight="1"/>
    <row r="1442" ht="14" customHeight="1"/>
    <row r="1443" ht="14" customHeight="1"/>
    <row r="1444" ht="14" customHeight="1"/>
    <row r="1445" ht="14" customHeight="1"/>
    <row r="1446" ht="14" customHeight="1"/>
    <row r="1447" ht="14" customHeight="1"/>
    <row r="1448" ht="14" customHeight="1"/>
    <row r="1449" ht="14" customHeight="1"/>
    <row r="1450" ht="14" customHeight="1"/>
    <row r="1451" ht="14" customHeight="1"/>
    <row r="1452" ht="14" customHeight="1"/>
    <row r="1453" ht="14" customHeight="1"/>
    <row r="1454" ht="14" customHeight="1"/>
    <row r="1455" ht="14" customHeight="1"/>
    <row r="1456" ht="14" customHeight="1"/>
    <row r="1457" ht="14" customHeight="1"/>
    <row r="1458" ht="14" customHeight="1"/>
    <row r="1459" ht="14" customHeight="1"/>
    <row r="1460" ht="14" customHeight="1"/>
    <row r="1461" ht="14" customHeight="1"/>
    <row r="1462" ht="14" customHeight="1"/>
    <row r="1463" ht="14" customHeight="1"/>
    <row r="1464" ht="14" customHeight="1"/>
    <row r="1465" ht="14" customHeight="1"/>
    <row r="1466" ht="14" customHeight="1"/>
    <row r="1467" ht="14" customHeight="1"/>
    <row r="1468" ht="14" customHeight="1"/>
    <row r="1469" ht="14" customHeight="1"/>
    <row r="1470" ht="14" customHeight="1"/>
    <row r="1471" ht="14" customHeight="1"/>
    <row r="1472" ht="14" customHeight="1"/>
    <row r="1473" ht="14" customHeight="1"/>
    <row r="1474" ht="14" customHeight="1"/>
    <row r="1475" ht="14" customHeight="1"/>
    <row r="1476" ht="14" customHeight="1"/>
    <row r="1477" ht="14" customHeight="1"/>
    <row r="1478" ht="14" customHeight="1"/>
    <row r="1479" ht="14" customHeight="1"/>
    <row r="1480" ht="14" customHeight="1"/>
    <row r="1481" ht="14" customHeight="1"/>
    <row r="1482" ht="14" customHeight="1"/>
    <row r="1483" ht="14" customHeight="1"/>
    <row r="1484" ht="14" customHeight="1"/>
    <row r="1485" ht="14" customHeight="1"/>
    <row r="1486" ht="14" customHeight="1"/>
    <row r="1487" ht="14" customHeight="1"/>
    <row r="1488" ht="14" customHeight="1"/>
    <row r="1489" ht="14" customHeight="1"/>
    <row r="1490" ht="14" customHeight="1"/>
    <row r="1491" ht="14" customHeight="1"/>
    <row r="1492" ht="14" customHeight="1"/>
    <row r="1493" ht="14" customHeight="1"/>
    <row r="1494" ht="14" customHeight="1"/>
    <row r="1495" ht="14" customHeight="1"/>
    <row r="1496" ht="14" customHeight="1"/>
    <row r="1497" ht="14" customHeight="1"/>
    <row r="1498" ht="14" customHeight="1"/>
    <row r="1499" ht="14" customHeight="1"/>
    <row r="1500" ht="14" customHeight="1"/>
    <row r="1501" ht="14" customHeight="1"/>
    <row r="1502" ht="14" customHeight="1"/>
    <row r="1503" ht="14" customHeight="1"/>
    <row r="1504" ht="14" customHeight="1"/>
    <row r="1505" ht="14" customHeight="1"/>
    <row r="1506" ht="14" customHeight="1"/>
    <row r="1507" ht="14" customHeight="1"/>
    <row r="1508" ht="14" customHeight="1"/>
    <row r="1509" ht="14" customHeight="1"/>
    <row r="1510" ht="14" customHeight="1"/>
    <row r="1511" ht="14" customHeight="1"/>
    <row r="1512" ht="14" customHeight="1"/>
    <row r="1513" ht="14" customHeight="1"/>
    <row r="1514" ht="14" customHeight="1"/>
    <row r="1515" ht="14" customHeight="1"/>
    <row r="1516" ht="14" customHeight="1"/>
    <row r="1517" ht="14" customHeight="1"/>
    <row r="1518" ht="14" customHeight="1"/>
    <row r="1519" ht="14" customHeight="1"/>
    <row r="1520" ht="14" customHeight="1"/>
    <row r="1521" ht="14" customHeight="1"/>
    <row r="1522" ht="14" customHeight="1"/>
    <row r="1523" ht="14" customHeight="1"/>
    <row r="1524" ht="14" customHeight="1"/>
    <row r="1525" ht="14" customHeight="1"/>
    <row r="1526" ht="14" customHeight="1"/>
    <row r="1527" ht="14" customHeight="1"/>
    <row r="1528" ht="14" customHeight="1"/>
    <row r="1529" ht="14" customHeight="1"/>
    <row r="1530" ht="14" customHeight="1"/>
    <row r="1531" ht="14" customHeight="1"/>
    <row r="1532" ht="14" customHeight="1"/>
    <row r="1533" ht="14" customHeight="1"/>
    <row r="1534" ht="14" customHeight="1"/>
    <row r="1535" ht="14" customHeight="1"/>
    <row r="1536" ht="14" customHeight="1"/>
    <row r="1537" ht="14" customHeight="1"/>
    <row r="1538" ht="14" customHeight="1"/>
    <row r="1539" ht="14" customHeight="1"/>
    <row r="1540" ht="14" customHeight="1"/>
    <row r="1541" ht="14" customHeight="1"/>
    <row r="1542" ht="14" customHeight="1"/>
    <row r="1543" ht="14" customHeight="1"/>
    <row r="1544" ht="14" customHeight="1"/>
    <row r="1545" ht="14" customHeight="1"/>
    <row r="1546" ht="14" customHeight="1"/>
    <row r="1547" ht="14" customHeight="1"/>
    <row r="1548" ht="14" customHeight="1"/>
    <row r="1549" ht="14" customHeight="1"/>
    <row r="1550" ht="14" customHeight="1"/>
    <row r="1551" ht="14" customHeight="1"/>
    <row r="1552" ht="14" customHeight="1"/>
    <row r="1553" ht="14" customHeight="1"/>
    <row r="1554" ht="14" customHeight="1"/>
    <row r="1555" ht="14" customHeight="1"/>
    <row r="1556" ht="14" customHeight="1"/>
    <row r="1557" ht="14" customHeight="1"/>
    <row r="1558" ht="14" customHeight="1"/>
    <row r="1559" ht="14" customHeight="1"/>
    <row r="1560" ht="14" customHeight="1"/>
    <row r="1561" ht="14" customHeight="1"/>
    <row r="1562" ht="14" customHeight="1"/>
    <row r="1563" ht="14" customHeight="1"/>
    <row r="1564" ht="14" customHeight="1"/>
    <row r="1565" ht="14" customHeight="1"/>
    <row r="1566" ht="14" customHeight="1"/>
    <row r="1567" ht="14" customHeight="1"/>
    <row r="1568" ht="14" customHeight="1"/>
    <row r="1569" ht="14" customHeight="1"/>
    <row r="1570" ht="14" customHeight="1"/>
    <row r="1571" ht="14" customHeight="1"/>
    <row r="1572" ht="14" customHeight="1"/>
    <row r="1573" ht="14" customHeight="1"/>
    <row r="1574" ht="14" customHeight="1"/>
    <row r="1575" ht="14" customHeight="1"/>
    <row r="1576" ht="14" customHeight="1"/>
    <row r="1577" ht="14" customHeight="1"/>
    <row r="1578" ht="14" customHeight="1"/>
    <row r="1579" ht="14" customHeight="1"/>
    <row r="1580" ht="14" customHeight="1"/>
    <row r="1581" ht="14" customHeight="1"/>
    <row r="1582" ht="14" customHeight="1"/>
    <row r="1583" ht="14" customHeight="1"/>
    <row r="1584" ht="14" customHeight="1"/>
    <row r="1585" ht="14" customHeight="1"/>
    <row r="1586" ht="14" customHeight="1"/>
    <row r="1587" ht="14" customHeight="1"/>
    <row r="1588" ht="14" customHeight="1"/>
    <row r="1589" ht="14" customHeight="1"/>
    <row r="1590" ht="14" customHeight="1"/>
    <row r="1591" ht="14" customHeight="1"/>
    <row r="1592" ht="14" customHeight="1"/>
    <row r="1593" ht="14" customHeight="1"/>
    <row r="1594" ht="14" customHeight="1"/>
    <row r="1595" ht="14" customHeight="1"/>
    <row r="1596" ht="14" customHeight="1"/>
    <row r="1597" ht="14" customHeight="1"/>
    <row r="1598" ht="14" customHeight="1"/>
    <row r="1599" ht="14" customHeight="1"/>
    <row r="1600" ht="14" customHeight="1"/>
    <row r="1601" ht="14" customHeight="1"/>
    <row r="1602" ht="14" customHeight="1"/>
    <row r="1603" ht="14" customHeight="1"/>
    <row r="1604" ht="14" customHeight="1"/>
    <row r="1605" ht="14" customHeight="1"/>
    <row r="1606" ht="14" customHeight="1"/>
    <row r="1607" ht="14" customHeight="1"/>
    <row r="1608" ht="14" customHeight="1"/>
    <row r="1609" ht="14" customHeight="1"/>
    <row r="1610" ht="14" customHeight="1"/>
    <row r="1611" ht="14" customHeight="1"/>
    <row r="1612" ht="14" customHeight="1"/>
    <row r="1613" ht="14" customHeight="1"/>
    <row r="1614" ht="14" customHeight="1"/>
    <row r="1615" ht="14" customHeight="1"/>
    <row r="1616" ht="14" customHeight="1"/>
    <row r="1617" ht="14" customHeight="1"/>
    <row r="1618" ht="14" customHeight="1"/>
    <row r="1619" ht="14" customHeight="1"/>
    <row r="1620" ht="14" customHeight="1"/>
    <row r="1621" ht="14" customHeight="1"/>
    <row r="1622" ht="14" customHeight="1"/>
    <row r="1623" ht="14" customHeight="1"/>
    <row r="1624" ht="14" customHeight="1"/>
    <row r="1625" ht="14" customHeight="1"/>
    <row r="1626" ht="14" customHeight="1"/>
    <row r="1627" ht="14" customHeight="1"/>
    <row r="1628" ht="14" customHeight="1"/>
    <row r="1629" ht="14" customHeight="1"/>
    <row r="1630" ht="14" customHeight="1"/>
    <row r="1631" ht="14" customHeight="1"/>
    <row r="1632" ht="14" customHeight="1"/>
    <row r="1633" ht="14" customHeight="1"/>
    <row r="1634" ht="14" customHeight="1"/>
    <row r="1635" ht="14" customHeight="1"/>
    <row r="1636" ht="14" customHeight="1"/>
    <row r="1637" ht="14" customHeight="1"/>
    <row r="1638" ht="14" customHeight="1"/>
    <row r="1639" ht="14" customHeight="1"/>
    <row r="1640" ht="14" customHeight="1"/>
    <row r="1641" ht="14" customHeight="1"/>
    <row r="1642" ht="14" customHeight="1"/>
    <row r="1643" ht="14" customHeight="1"/>
    <row r="1644" ht="14" customHeight="1"/>
    <row r="1645" ht="14" customHeight="1"/>
    <row r="1646" ht="14" customHeight="1"/>
    <row r="1647" ht="14" customHeight="1"/>
    <row r="1648" ht="14" customHeight="1"/>
    <row r="1649" ht="14" customHeight="1"/>
    <row r="1650" ht="14" customHeight="1"/>
    <row r="1651" ht="14" customHeight="1"/>
    <row r="1652" ht="14" customHeight="1"/>
    <row r="1653" ht="14" customHeight="1"/>
    <row r="1654" ht="14" customHeight="1"/>
    <row r="1655" ht="14" customHeight="1"/>
    <row r="1656" ht="14" customHeight="1"/>
    <row r="1657" ht="14" customHeight="1"/>
    <row r="1658" ht="14" customHeight="1"/>
    <row r="1659" ht="14" customHeight="1"/>
    <row r="1660" ht="14" customHeight="1"/>
    <row r="1661" ht="14" customHeight="1"/>
    <row r="1662" ht="14" customHeight="1"/>
    <row r="1663" ht="14" customHeight="1"/>
    <row r="1664" ht="14" customHeight="1"/>
    <row r="1665" ht="14" customHeight="1"/>
    <row r="1666" ht="14" customHeight="1"/>
    <row r="1667" ht="14" customHeight="1"/>
    <row r="1668" ht="14" customHeight="1"/>
    <row r="1669" ht="14" customHeight="1"/>
    <row r="1670" ht="14" customHeight="1"/>
    <row r="1671" ht="14" customHeight="1"/>
    <row r="1672" ht="14" customHeight="1"/>
    <row r="1673" ht="14" customHeight="1"/>
    <row r="1674" ht="14" customHeight="1"/>
    <row r="1675" ht="14" customHeight="1"/>
    <row r="1676" ht="14" customHeight="1"/>
    <row r="1677" ht="14" customHeight="1"/>
    <row r="1678" ht="14" customHeight="1"/>
    <row r="1679" ht="14" customHeight="1"/>
    <row r="1680" ht="14" customHeight="1"/>
    <row r="1681" ht="14" customHeight="1"/>
    <row r="1682" ht="14" customHeight="1"/>
    <row r="1683" ht="14" customHeight="1"/>
    <row r="1684" ht="14" customHeight="1"/>
    <row r="1685" ht="14" customHeight="1"/>
    <row r="1686" ht="14" customHeight="1"/>
    <row r="1687" ht="14" customHeight="1"/>
    <row r="1688" ht="14" customHeight="1"/>
    <row r="1689" ht="14" customHeight="1"/>
    <row r="1690" ht="14" customHeight="1"/>
    <row r="1691" ht="14" customHeight="1"/>
    <row r="1692" ht="14" customHeight="1"/>
    <row r="1693" ht="14" customHeight="1"/>
    <row r="1694" ht="14" customHeight="1"/>
    <row r="1695" ht="14" customHeight="1"/>
    <row r="1696" ht="14" customHeight="1"/>
    <row r="1697" ht="14" customHeight="1"/>
    <row r="1698" ht="14" customHeight="1"/>
    <row r="1699" ht="14" customHeight="1"/>
    <row r="1700" ht="14" customHeight="1"/>
    <row r="1701" ht="14" customHeight="1"/>
    <row r="1702" ht="14" customHeight="1"/>
    <row r="1703" ht="14" customHeight="1"/>
    <row r="1704" ht="14" customHeight="1"/>
    <row r="1705" ht="14" customHeight="1"/>
    <row r="1706" ht="14" customHeight="1"/>
    <row r="1707" ht="14" customHeight="1"/>
    <row r="1708" ht="14" customHeight="1"/>
    <row r="1709" ht="14" customHeight="1"/>
    <row r="1710" ht="14" customHeight="1"/>
    <row r="1711" ht="14" customHeight="1"/>
    <row r="1712" ht="14" customHeight="1"/>
    <row r="1713" ht="14" customHeight="1"/>
    <row r="1714" ht="14" customHeight="1"/>
    <row r="1715" ht="14" customHeight="1"/>
    <row r="1716" ht="14" customHeight="1"/>
    <row r="1717" ht="14" customHeight="1"/>
    <row r="1718" ht="14" customHeight="1"/>
    <row r="1719" ht="14" customHeight="1"/>
    <row r="1720" ht="14" customHeight="1"/>
    <row r="1721" ht="14" customHeight="1"/>
    <row r="1722" ht="14" customHeight="1"/>
    <row r="1723" ht="14" customHeight="1"/>
    <row r="1724" ht="14" customHeight="1"/>
    <row r="1725" ht="14" customHeight="1"/>
    <row r="1726" ht="14" customHeight="1"/>
    <row r="1727" ht="14" customHeight="1"/>
    <row r="1728" ht="14" customHeight="1"/>
    <row r="1729" ht="14" customHeight="1"/>
    <row r="1730" ht="14" customHeight="1"/>
    <row r="1731" ht="14" customHeight="1"/>
    <row r="1732" ht="14" customHeight="1"/>
    <row r="1733" ht="14" customHeight="1"/>
    <row r="1734" ht="14" customHeight="1"/>
    <row r="1735" ht="14" customHeight="1"/>
    <row r="1736" ht="14" customHeight="1"/>
    <row r="1737" ht="14" customHeight="1"/>
    <row r="1738" ht="14" customHeight="1"/>
    <row r="1739" ht="14" customHeight="1"/>
    <row r="1740" ht="14" customHeight="1"/>
    <row r="1741" ht="14" customHeight="1"/>
    <row r="1742" ht="14" customHeight="1"/>
    <row r="1743" ht="14" customHeight="1"/>
    <row r="1744" ht="14" customHeight="1"/>
    <row r="1745" ht="14" customHeight="1"/>
    <row r="1746" ht="14" customHeight="1"/>
    <row r="1747" ht="14" customHeight="1"/>
    <row r="1748" ht="14" customHeight="1"/>
    <row r="1749" ht="14" customHeight="1"/>
    <row r="1750" ht="14" customHeight="1"/>
    <row r="1751" ht="14" customHeight="1"/>
    <row r="1752" ht="14" customHeight="1"/>
    <row r="1753" ht="14" customHeight="1"/>
    <row r="1754" ht="14" customHeight="1"/>
    <row r="1755" ht="14" customHeight="1"/>
    <row r="1756" ht="14" customHeight="1"/>
    <row r="1757" ht="14" customHeight="1"/>
    <row r="1758" ht="14" customHeight="1"/>
    <row r="1759" ht="14" customHeight="1"/>
    <row r="1760" ht="14" customHeight="1"/>
    <row r="1761" ht="14" customHeight="1"/>
    <row r="1762" ht="14" customHeight="1"/>
    <row r="1763" ht="14" customHeight="1"/>
    <row r="1764" ht="14" customHeight="1"/>
    <row r="1765" ht="14" customHeight="1"/>
    <row r="1766" ht="14" customHeight="1"/>
    <row r="1767" ht="14" customHeight="1"/>
    <row r="1768" ht="14" customHeight="1"/>
    <row r="1769" ht="14" customHeight="1"/>
    <row r="1770" ht="14" customHeight="1"/>
    <row r="1771" ht="14" customHeight="1"/>
    <row r="1772" ht="14" customHeight="1"/>
    <row r="1773" ht="14" customHeight="1"/>
    <row r="1774" ht="14" customHeight="1"/>
    <row r="1775" ht="14" customHeight="1"/>
    <row r="1776" ht="14" customHeight="1"/>
    <row r="1777" ht="14" customHeight="1"/>
    <row r="1778" ht="14" customHeight="1"/>
    <row r="1779" ht="14" customHeight="1"/>
    <row r="1780" ht="14" customHeight="1"/>
    <row r="1781" ht="14" customHeight="1"/>
    <row r="1782" ht="14" customHeight="1"/>
    <row r="1783" ht="14" customHeight="1"/>
    <row r="1784" ht="14" customHeight="1"/>
    <row r="1785" ht="14" customHeight="1"/>
    <row r="1786" ht="14" customHeight="1"/>
    <row r="1787" ht="14" customHeight="1"/>
    <row r="1788" ht="14" customHeight="1"/>
    <row r="1789" ht="14" customHeight="1"/>
    <row r="1790" ht="14" customHeight="1"/>
    <row r="1791" ht="14" customHeight="1"/>
    <row r="1792" ht="14" customHeight="1"/>
    <row r="1793" ht="14" customHeight="1"/>
    <row r="1794" ht="14" customHeight="1"/>
    <row r="1795" ht="14" customHeight="1"/>
    <row r="1796" ht="14" customHeight="1"/>
    <row r="1797" ht="14" customHeight="1"/>
    <row r="1798" ht="14" customHeight="1"/>
    <row r="1799" ht="14" customHeight="1"/>
    <row r="1800" ht="14" customHeight="1"/>
    <row r="1801" ht="14" customHeight="1"/>
    <row r="1802" ht="14" customHeight="1"/>
    <row r="1803" ht="14" customHeight="1"/>
    <row r="1804" ht="14" customHeight="1"/>
    <row r="1805" ht="14" customHeight="1"/>
    <row r="1806" ht="14" customHeight="1"/>
    <row r="1807" ht="14" customHeight="1"/>
    <row r="1808" ht="14" customHeight="1"/>
    <row r="1809" ht="14" customHeight="1"/>
    <row r="1810" ht="14" customHeight="1"/>
    <row r="1811" ht="14" customHeight="1"/>
    <row r="1812" ht="14" customHeight="1"/>
    <row r="1813" ht="14" customHeight="1"/>
    <row r="1814" ht="14" customHeight="1"/>
    <row r="1815" ht="14" customHeight="1"/>
    <row r="1816" ht="14" customHeight="1"/>
    <row r="1817" ht="14" customHeight="1"/>
    <row r="1818" ht="14" customHeight="1"/>
    <row r="1819" ht="14" customHeight="1"/>
    <row r="1820" ht="14" customHeight="1"/>
    <row r="1821" ht="14" customHeight="1"/>
    <row r="1822" ht="14" customHeight="1"/>
    <row r="1823" ht="14" customHeight="1"/>
    <row r="1824" ht="14" customHeight="1"/>
    <row r="1825" ht="14" customHeight="1"/>
    <row r="1826" ht="14" customHeight="1"/>
    <row r="1827" ht="14" customHeight="1"/>
    <row r="1828" ht="14" customHeight="1"/>
    <row r="1829" ht="14" customHeight="1"/>
    <row r="1830" ht="14" customHeight="1"/>
    <row r="1831" ht="14" customHeight="1"/>
    <row r="1832" ht="14" customHeight="1"/>
    <row r="1833" ht="14" customHeight="1"/>
    <row r="1834" ht="14" customHeight="1"/>
    <row r="1835" ht="14" customHeight="1"/>
    <row r="1836" ht="14" customHeight="1"/>
    <row r="1837" ht="14" customHeight="1"/>
    <row r="1838" ht="14" customHeight="1"/>
    <row r="1839" ht="14" customHeight="1"/>
    <row r="1840" ht="14" customHeight="1"/>
    <row r="1841" ht="14" customHeight="1"/>
    <row r="1842" ht="14" customHeight="1"/>
    <row r="1843" ht="14" customHeight="1"/>
    <row r="1844" ht="14" customHeight="1"/>
    <row r="1845" ht="14" customHeight="1"/>
    <row r="1846" ht="14" customHeight="1"/>
    <row r="1847" ht="14" customHeight="1"/>
    <row r="1848" ht="14" customHeight="1"/>
    <row r="1849" ht="14" customHeight="1"/>
    <row r="1850" ht="14" customHeight="1"/>
    <row r="1851" ht="14" customHeight="1"/>
    <row r="1852" ht="14" customHeight="1"/>
    <row r="1853" ht="14" customHeight="1"/>
    <row r="1854" ht="14" customHeight="1"/>
    <row r="1855" ht="14" customHeight="1"/>
    <row r="1856" ht="14" customHeight="1"/>
    <row r="1857" ht="14" customHeight="1"/>
    <row r="1858" ht="14" customHeight="1"/>
    <row r="1859" ht="14" customHeight="1"/>
    <row r="1860" ht="14" customHeight="1"/>
    <row r="1861" ht="14" customHeight="1"/>
    <row r="1862" ht="14" customHeight="1"/>
    <row r="1863" ht="14" customHeight="1"/>
    <row r="1864" ht="14" customHeight="1"/>
    <row r="1865" ht="14" customHeight="1"/>
    <row r="1866" ht="14" customHeight="1"/>
    <row r="1867" ht="14" customHeight="1"/>
    <row r="1868" ht="14" customHeight="1"/>
    <row r="1869" ht="14" customHeight="1"/>
    <row r="1870" ht="14" customHeight="1"/>
    <row r="1871" ht="14" customHeight="1"/>
    <row r="1872" ht="14" customHeight="1"/>
    <row r="1873" ht="14" customHeight="1"/>
    <row r="1874" ht="14" customHeight="1"/>
    <row r="1875" ht="14" customHeight="1"/>
    <row r="1876" ht="14" customHeight="1"/>
    <row r="1877" ht="14" customHeight="1"/>
    <row r="1878" ht="14" customHeight="1"/>
    <row r="1879" ht="14" customHeight="1"/>
    <row r="1880" ht="14" customHeight="1"/>
    <row r="1881" ht="14" customHeight="1"/>
    <row r="1882" ht="14" customHeight="1"/>
    <row r="1883" ht="14" customHeight="1"/>
    <row r="1884" ht="14" customHeight="1"/>
    <row r="1885" ht="14" customHeight="1"/>
    <row r="1886" ht="14" customHeight="1"/>
    <row r="1887" ht="14" customHeight="1"/>
    <row r="1888" ht="14" customHeight="1"/>
    <row r="1889" ht="14" customHeight="1"/>
    <row r="1890" ht="14" customHeight="1"/>
    <row r="1891" ht="14" customHeight="1"/>
    <row r="1892" ht="14" customHeight="1"/>
    <row r="1893" ht="14" customHeight="1"/>
    <row r="1894" ht="14" customHeight="1"/>
    <row r="1895" ht="14" customHeight="1"/>
    <row r="1896" ht="14" customHeight="1"/>
    <row r="1897" ht="14" customHeight="1"/>
    <row r="1898" ht="14" customHeight="1"/>
    <row r="1899" ht="14" customHeight="1"/>
    <row r="1900" ht="14" customHeight="1"/>
    <row r="1901" ht="14" customHeight="1"/>
    <row r="1902" ht="14" customHeight="1"/>
    <row r="1903" ht="14" customHeight="1"/>
    <row r="1904" ht="14" customHeight="1"/>
    <row r="1905" ht="14" customHeight="1"/>
    <row r="1906" ht="14" customHeight="1"/>
    <row r="1907" ht="14" customHeight="1"/>
    <row r="1908" ht="14" customHeight="1"/>
    <row r="1909" ht="14" customHeight="1"/>
    <row r="1910" ht="14" customHeight="1"/>
    <row r="1911" ht="14" customHeight="1"/>
    <row r="1912" ht="14" customHeight="1"/>
    <row r="1913" ht="14" customHeight="1"/>
    <row r="1914" ht="14" customHeight="1"/>
    <row r="1915" ht="14" customHeight="1"/>
    <row r="1916" ht="14" customHeight="1"/>
    <row r="1917" ht="14" customHeight="1"/>
    <row r="1918" ht="14" customHeight="1"/>
    <row r="1919" ht="14" customHeight="1"/>
    <row r="1920" ht="14" customHeight="1"/>
    <row r="1921" ht="14" customHeight="1"/>
    <row r="1922" ht="14" customHeight="1"/>
    <row r="1923" ht="14" customHeight="1"/>
    <row r="1924" ht="14" customHeight="1"/>
    <row r="1925" ht="14" customHeight="1"/>
    <row r="1926" ht="14" customHeight="1"/>
    <row r="1927" ht="14" customHeight="1"/>
    <row r="1928" ht="14" customHeight="1"/>
    <row r="1929" ht="14" customHeight="1"/>
    <row r="1930" ht="14" customHeight="1"/>
    <row r="1931" ht="14" customHeight="1"/>
    <row r="1932" ht="14" customHeight="1"/>
    <row r="1933" ht="14" customHeight="1"/>
    <row r="1934" ht="14" customHeight="1"/>
    <row r="1935" ht="14" customHeight="1"/>
    <row r="1936" ht="14" customHeight="1"/>
    <row r="1937" ht="14" customHeight="1"/>
    <row r="1938" ht="14" customHeight="1"/>
    <row r="1939" ht="14" customHeight="1"/>
    <row r="1940" ht="14" customHeight="1"/>
    <row r="1941" ht="14" customHeight="1"/>
    <row r="1942" ht="14" customHeight="1"/>
    <row r="1943" ht="14" customHeight="1"/>
    <row r="1944" ht="14" customHeight="1"/>
    <row r="1945" ht="14" customHeight="1"/>
    <row r="1946" ht="14" customHeight="1"/>
    <row r="1947" ht="14" customHeight="1"/>
    <row r="1948" ht="14" customHeight="1"/>
    <row r="1949" ht="14" customHeight="1"/>
    <row r="1950" ht="14" customHeight="1"/>
    <row r="1951" ht="14" customHeight="1"/>
    <row r="1952" ht="14" customHeight="1"/>
    <row r="1953" ht="14" customHeight="1"/>
    <row r="1954" ht="14" customHeight="1"/>
    <row r="1955" ht="14" customHeight="1"/>
    <row r="1956" ht="14" customHeight="1"/>
    <row r="1957" ht="14" customHeight="1"/>
    <row r="1958" ht="14" customHeight="1"/>
    <row r="1959" ht="14" customHeight="1"/>
    <row r="1960" ht="14" customHeight="1"/>
    <row r="1961" ht="14" customHeight="1"/>
    <row r="1962" ht="14" customHeight="1"/>
    <row r="1963" ht="14" customHeight="1"/>
    <row r="1964" ht="14" customHeight="1"/>
    <row r="1965" ht="14" customHeight="1"/>
    <row r="1966" ht="14" customHeight="1"/>
    <row r="1967" ht="14" customHeight="1"/>
    <row r="1968" ht="14" customHeight="1"/>
    <row r="1969" ht="14" customHeight="1"/>
    <row r="1970" ht="14" customHeight="1"/>
    <row r="1971" ht="14" customHeight="1"/>
    <row r="1972" ht="14" customHeight="1"/>
    <row r="1973" ht="14" customHeight="1"/>
    <row r="1974" ht="14" customHeight="1"/>
    <row r="1975" ht="14" customHeight="1"/>
    <row r="1976" ht="14" customHeight="1"/>
    <row r="1977" ht="14" customHeight="1"/>
    <row r="1978" ht="14" customHeight="1"/>
    <row r="1979" ht="14" customHeight="1"/>
    <row r="1980" ht="14" customHeight="1"/>
    <row r="1981" ht="14" customHeight="1"/>
    <row r="1982" ht="14" customHeight="1"/>
    <row r="1983" ht="14" customHeight="1"/>
    <row r="1984" ht="14" customHeight="1"/>
    <row r="1985" ht="14" customHeight="1"/>
    <row r="1986" ht="14" customHeight="1"/>
    <row r="1987" ht="14" customHeight="1"/>
    <row r="1988" ht="14" customHeight="1"/>
    <row r="1989" ht="14" customHeight="1"/>
    <row r="1990" ht="14" customHeight="1"/>
    <row r="1991" ht="14" customHeight="1"/>
    <row r="1992" ht="14" customHeight="1"/>
    <row r="1993" ht="14" customHeight="1"/>
    <row r="1994" ht="14" customHeight="1"/>
    <row r="1995" ht="14" customHeight="1"/>
    <row r="1996" ht="14" customHeight="1"/>
    <row r="1997" ht="14" customHeight="1"/>
    <row r="1998" ht="14" customHeight="1"/>
    <row r="1999" ht="14" customHeight="1"/>
    <row r="2000" ht="14" customHeight="1"/>
    <row r="2001" ht="14" customHeight="1"/>
    <row r="2002" ht="14" customHeight="1"/>
    <row r="2003" ht="14" customHeight="1"/>
    <row r="2004" ht="14" customHeight="1"/>
    <row r="2005" ht="14" customHeight="1"/>
    <row r="2006" ht="14" customHeight="1"/>
    <row r="2007" ht="14" customHeight="1"/>
    <row r="2008" ht="14" customHeight="1"/>
    <row r="2009" ht="14" customHeight="1"/>
    <row r="2010" ht="14" customHeight="1"/>
    <row r="2011" ht="14" customHeight="1"/>
    <row r="2012" ht="14" customHeight="1"/>
    <row r="2013" ht="14" customHeight="1"/>
    <row r="2014" ht="14" customHeight="1"/>
    <row r="2015" ht="14" customHeight="1"/>
    <row r="2016" ht="14" customHeight="1"/>
    <row r="2017" ht="14" customHeight="1"/>
    <row r="2018" ht="14" customHeight="1"/>
    <row r="2019" ht="14" customHeight="1"/>
    <row r="2020" ht="14" customHeight="1"/>
    <row r="2021" ht="14" customHeight="1"/>
    <row r="2022" ht="14" customHeight="1"/>
    <row r="2023" ht="14" customHeight="1"/>
    <row r="2024" ht="14" customHeight="1"/>
    <row r="2025" ht="14" customHeight="1"/>
    <row r="2026" ht="14" customHeight="1"/>
    <row r="2027" ht="14" customHeight="1"/>
    <row r="2028" ht="14" customHeight="1"/>
    <row r="2029" ht="14" customHeight="1"/>
    <row r="2030" ht="14" customHeight="1"/>
    <row r="2031" ht="14" customHeight="1"/>
    <row r="2032" ht="14" customHeight="1"/>
    <row r="2033" ht="14" customHeight="1"/>
    <row r="2034" ht="14" customHeight="1"/>
    <row r="2035" ht="14" customHeight="1"/>
    <row r="2036" ht="14" customHeight="1"/>
    <row r="2037" ht="14" customHeight="1"/>
    <row r="2038" ht="14" customHeight="1"/>
    <row r="2039" ht="14" customHeight="1"/>
    <row r="2040" ht="14" customHeight="1"/>
    <row r="2041" ht="14" customHeight="1"/>
    <row r="2042" ht="14" customHeight="1"/>
    <row r="2043" ht="14" customHeight="1"/>
    <row r="2044" ht="14" customHeight="1"/>
    <row r="2045" ht="14" customHeight="1"/>
    <row r="2046" ht="14" customHeight="1"/>
    <row r="2047" ht="14" customHeight="1"/>
    <row r="2048" ht="14" customHeight="1"/>
    <row r="2049" ht="14" customHeight="1"/>
  </sheetData>
  <mergeCells count="787">
    <mergeCell ref="A19:E19"/>
    <mergeCell ref="A17:E17"/>
    <mergeCell ref="A1:G10"/>
    <mergeCell ref="A799:B799"/>
    <mergeCell ref="A800:B800"/>
    <mergeCell ref="A801:B801"/>
    <mergeCell ref="A790:B790"/>
    <mergeCell ref="A791:B791"/>
    <mergeCell ref="A792:B792"/>
    <mergeCell ref="A793:B793"/>
    <mergeCell ref="A794:B794"/>
    <mergeCell ref="A795:B795"/>
    <mergeCell ref="A798:B798"/>
    <mergeCell ref="A797:B797"/>
    <mergeCell ref="A796:B796"/>
    <mergeCell ref="A784:B784"/>
    <mergeCell ref="A785:B785"/>
    <mergeCell ref="A786:B786"/>
    <mergeCell ref="A787:B787"/>
    <mergeCell ref="A788:B788"/>
    <mergeCell ref="A789:B789"/>
    <mergeCell ref="A778:B778"/>
    <mergeCell ref="A779:B779"/>
    <mergeCell ref="A780:B780"/>
    <mergeCell ref="A781:B781"/>
    <mergeCell ref="A782:B782"/>
    <mergeCell ref="A783:B783"/>
    <mergeCell ref="A772:B772"/>
    <mergeCell ref="A773:B773"/>
    <mergeCell ref="A774:B774"/>
    <mergeCell ref="A775:B775"/>
    <mergeCell ref="A776:B776"/>
    <mergeCell ref="A777:B777"/>
    <mergeCell ref="A766:B766"/>
    <mergeCell ref="A767:B767"/>
    <mergeCell ref="A768:B768"/>
    <mergeCell ref="A769:B769"/>
    <mergeCell ref="A770:B770"/>
    <mergeCell ref="A771:B771"/>
    <mergeCell ref="A760:B760"/>
    <mergeCell ref="A761:B761"/>
    <mergeCell ref="A762:B762"/>
    <mergeCell ref="A763:B763"/>
    <mergeCell ref="A764:B764"/>
    <mergeCell ref="A765:B765"/>
    <mergeCell ref="A754:B754"/>
    <mergeCell ref="A755:B755"/>
    <mergeCell ref="A756:B756"/>
    <mergeCell ref="A757:B757"/>
    <mergeCell ref="A758:B758"/>
    <mergeCell ref="A759:B759"/>
    <mergeCell ref="A748:B748"/>
    <mergeCell ref="A749:B749"/>
    <mergeCell ref="A750:B750"/>
    <mergeCell ref="A751:B751"/>
    <mergeCell ref="A752:B752"/>
    <mergeCell ref="A753:B753"/>
    <mergeCell ref="A742:B742"/>
    <mergeCell ref="A743:B743"/>
    <mergeCell ref="A744:B744"/>
    <mergeCell ref="A745:B745"/>
    <mergeCell ref="A746:B746"/>
    <mergeCell ref="A747:B747"/>
    <mergeCell ref="A736:B736"/>
    <mergeCell ref="A737:B737"/>
    <mergeCell ref="A738:B738"/>
    <mergeCell ref="A739:B739"/>
    <mergeCell ref="A740:B740"/>
    <mergeCell ref="A741:B741"/>
    <mergeCell ref="A730:B730"/>
    <mergeCell ref="A731:B731"/>
    <mergeCell ref="A732:B732"/>
    <mergeCell ref="A733:B733"/>
    <mergeCell ref="A734:B734"/>
    <mergeCell ref="A735:B735"/>
    <mergeCell ref="A724:B724"/>
    <mergeCell ref="A725:B725"/>
    <mergeCell ref="A726:B726"/>
    <mergeCell ref="A727:B727"/>
    <mergeCell ref="A728:B728"/>
    <mergeCell ref="A729:B729"/>
    <mergeCell ref="A718:B718"/>
    <mergeCell ref="A719:B719"/>
    <mergeCell ref="A720:B720"/>
    <mergeCell ref="A721:B721"/>
    <mergeCell ref="A722:B722"/>
    <mergeCell ref="A723:B723"/>
    <mergeCell ref="A712:B712"/>
    <mergeCell ref="A713:B713"/>
    <mergeCell ref="A714:B714"/>
    <mergeCell ref="A715:B715"/>
    <mergeCell ref="A716:B716"/>
    <mergeCell ref="A717:B717"/>
    <mergeCell ref="A706:B706"/>
    <mergeCell ref="A707:B707"/>
    <mergeCell ref="A708:B708"/>
    <mergeCell ref="A709:B709"/>
    <mergeCell ref="A710:B710"/>
    <mergeCell ref="A711:B711"/>
    <mergeCell ref="A700:B700"/>
    <mergeCell ref="A701:B701"/>
    <mergeCell ref="A702:B702"/>
    <mergeCell ref="A703:B703"/>
    <mergeCell ref="A704:B704"/>
    <mergeCell ref="A705:B705"/>
    <mergeCell ref="A694:B694"/>
    <mergeCell ref="A695:B695"/>
    <mergeCell ref="A696:B696"/>
    <mergeCell ref="A697:B697"/>
    <mergeCell ref="A698:B698"/>
    <mergeCell ref="A699:B699"/>
    <mergeCell ref="A688:B688"/>
    <mergeCell ref="A689:B689"/>
    <mergeCell ref="A690:B690"/>
    <mergeCell ref="A691:B691"/>
    <mergeCell ref="A692:B692"/>
    <mergeCell ref="A693:B693"/>
    <mergeCell ref="A682:B682"/>
    <mergeCell ref="A683:B683"/>
    <mergeCell ref="A684:B684"/>
    <mergeCell ref="A685:B685"/>
    <mergeCell ref="A686:B686"/>
    <mergeCell ref="A687:B687"/>
    <mergeCell ref="A676:B676"/>
    <mergeCell ref="A677:B677"/>
    <mergeCell ref="A678:B678"/>
    <mergeCell ref="A679:B679"/>
    <mergeCell ref="A680:B680"/>
    <mergeCell ref="A681:B681"/>
    <mergeCell ref="A670:B670"/>
    <mergeCell ref="A671:B671"/>
    <mergeCell ref="A672:B672"/>
    <mergeCell ref="A673:B673"/>
    <mergeCell ref="A674:B674"/>
    <mergeCell ref="A675:B675"/>
    <mergeCell ref="A664:B664"/>
    <mergeCell ref="A665:B665"/>
    <mergeCell ref="A666:B666"/>
    <mergeCell ref="A667:B667"/>
    <mergeCell ref="A668:B668"/>
    <mergeCell ref="A669:B669"/>
    <mergeCell ref="A658:B658"/>
    <mergeCell ref="A659:B659"/>
    <mergeCell ref="A660:B660"/>
    <mergeCell ref="A661:B661"/>
    <mergeCell ref="A662:B662"/>
    <mergeCell ref="A663:B663"/>
    <mergeCell ref="A652:B652"/>
    <mergeCell ref="A653:B653"/>
    <mergeCell ref="A654:B654"/>
    <mergeCell ref="A655:B655"/>
    <mergeCell ref="A656:B656"/>
    <mergeCell ref="A657:B657"/>
    <mergeCell ref="A646:B646"/>
    <mergeCell ref="A647:B647"/>
    <mergeCell ref="A648:B648"/>
    <mergeCell ref="A649:B649"/>
    <mergeCell ref="A650:B650"/>
    <mergeCell ref="A651:B651"/>
    <mergeCell ref="A640:B640"/>
    <mergeCell ref="A641:B641"/>
    <mergeCell ref="A642:B642"/>
    <mergeCell ref="A643:B643"/>
    <mergeCell ref="A644:B644"/>
    <mergeCell ref="A645:B645"/>
    <mergeCell ref="A634:B634"/>
    <mergeCell ref="A635:B635"/>
    <mergeCell ref="A636:B636"/>
    <mergeCell ref="A637:B637"/>
    <mergeCell ref="A638:B638"/>
    <mergeCell ref="A639:B639"/>
    <mergeCell ref="A628:B628"/>
    <mergeCell ref="A629:B629"/>
    <mergeCell ref="A630:B630"/>
    <mergeCell ref="A631:B631"/>
    <mergeCell ref="A632:B632"/>
    <mergeCell ref="A633:B633"/>
    <mergeCell ref="A622:B622"/>
    <mergeCell ref="A623:B623"/>
    <mergeCell ref="A624:B624"/>
    <mergeCell ref="A625:B625"/>
    <mergeCell ref="A626:B626"/>
    <mergeCell ref="A627:B627"/>
    <mergeCell ref="A616:B616"/>
    <mergeCell ref="A617:B617"/>
    <mergeCell ref="A618:B618"/>
    <mergeCell ref="A619:B619"/>
    <mergeCell ref="A620:B620"/>
    <mergeCell ref="A621:B621"/>
    <mergeCell ref="A610:B610"/>
    <mergeCell ref="A611:B611"/>
    <mergeCell ref="A612:B612"/>
    <mergeCell ref="A613:B613"/>
    <mergeCell ref="A614:B614"/>
    <mergeCell ref="A615:B615"/>
    <mergeCell ref="A604:B604"/>
    <mergeCell ref="A605:B605"/>
    <mergeCell ref="A606:B606"/>
    <mergeCell ref="A607:B607"/>
    <mergeCell ref="A608:B608"/>
    <mergeCell ref="A609:B609"/>
    <mergeCell ref="A598:B598"/>
    <mergeCell ref="A599:B599"/>
    <mergeCell ref="A600:B600"/>
    <mergeCell ref="A601:B601"/>
    <mergeCell ref="A602:B602"/>
    <mergeCell ref="A603:B603"/>
    <mergeCell ref="A592:B592"/>
    <mergeCell ref="A593:B593"/>
    <mergeCell ref="A594:B594"/>
    <mergeCell ref="A595:B595"/>
    <mergeCell ref="A596:B596"/>
    <mergeCell ref="A597:B597"/>
    <mergeCell ref="A586:B586"/>
    <mergeCell ref="A587:B587"/>
    <mergeCell ref="A588:B588"/>
    <mergeCell ref="A589:B589"/>
    <mergeCell ref="A590:B590"/>
    <mergeCell ref="A591:B591"/>
    <mergeCell ref="A580:B580"/>
    <mergeCell ref="A581:B581"/>
    <mergeCell ref="A582:B582"/>
    <mergeCell ref="A583:B583"/>
    <mergeCell ref="A584:B584"/>
    <mergeCell ref="A585:B585"/>
    <mergeCell ref="A574:B574"/>
    <mergeCell ref="A575:B575"/>
    <mergeCell ref="A576:B576"/>
    <mergeCell ref="A577:B577"/>
    <mergeCell ref="A578:B578"/>
    <mergeCell ref="A579:B579"/>
    <mergeCell ref="A568:B568"/>
    <mergeCell ref="A569:B569"/>
    <mergeCell ref="A570:B570"/>
    <mergeCell ref="A571:B571"/>
    <mergeCell ref="A572:B572"/>
    <mergeCell ref="A573:B573"/>
    <mergeCell ref="A562:B562"/>
    <mergeCell ref="A563:B563"/>
    <mergeCell ref="A564:B564"/>
    <mergeCell ref="A565:B565"/>
    <mergeCell ref="A566:B566"/>
    <mergeCell ref="A567:B567"/>
    <mergeCell ref="A556:B556"/>
    <mergeCell ref="A557:B557"/>
    <mergeCell ref="A558:B558"/>
    <mergeCell ref="A559:B559"/>
    <mergeCell ref="A560:B560"/>
    <mergeCell ref="A561:B561"/>
    <mergeCell ref="A550:B550"/>
    <mergeCell ref="A551:B551"/>
    <mergeCell ref="A552:B552"/>
    <mergeCell ref="A553:B553"/>
    <mergeCell ref="A554:B554"/>
    <mergeCell ref="A555:B555"/>
    <mergeCell ref="A544:B544"/>
    <mergeCell ref="A545:B545"/>
    <mergeCell ref="A546:B546"/>
    <mergeCell ref="A547:B547"/>
    <mergeCell ref="A548:B548"/>
    <mergeCell ref="A549:B549"/>
    <mergeCell ref="A538:B538"/>
    <mergeCell ref="A539:B539"/>
    <mergeCell ref="A540:B540"/>
    <mergeCell ref="A541:B541"/>
    <mergeCell ref="A542:B542"/>
    <mergeCell ref="A543:B543"/>
    <mergeCell ref="A532:B532"/>
    <mergeCell ref="A533:B533"/>
    <mergeCell ref="A534:B534"/>
    <mergeCell ref="A535:B535"/>
    <mergeCell ref="A536:B536"/>
    <mergeCell ref="A537:B537"/>
    <mergeCell ref="A526:B526"/>
    <mergeCell ref="A527:B527"/>
    <mergeCell ref="A528:B528"/>
    <mergeCell ref="A529:B529"/>
    <mergeCell ref="A530:B530"/>
    <mergeCell ref="A531:B531"/>
    <mergeCell ref="A520:B520"/>
    <mergeCell ref="A521:B521"/>
    <mergeCell ref="A522:B522"/>
    <mergeCell ref="A523:B523"/>
    <mergeCell ref="A524:B524"/>
    <mergeCell ref="A525:B525"/>
    <mergeCell ref="A514:B514"/>
    <mergeCell ref="A515:B515"/>
    <mergeCell ref="A516:B516"/>
    <mergeCell ref="A517:B517"/>
    <mergeCell ref="A518:B518"/>
    <mergeCell ref="A519:B519"/>
    <mergeCell ref="A508:B508"/>
    <mergeCell ref="A509:B509"/>
    <mergeCell ref="A510:B510"/>
    <mergeCell ref="A511:B511"/>
    <mergeCell ref="A512:B512"/>
    <mergeCell ref="A513:B513"/>
    <mergeCell ref="A502:B502"/>
    <mergeCell ref="A503:B503"/>
    <mergeCell ref="A504:B504"/>
    <mergeCell ref="A505:B505"/>
    <mergeCell ref="A506:B506"/>
    <mergeCell ref="A507:B507"/>
    <mergeCell ref="A496:B496"/>
    <mergeCell ref="A497:B497"/>
    <mergeCell ref="A498:B498"/>
    <mergeCell ref="A499:B499"/>
    <mergeCell ref="A500:B500"/>
    <mergeCell ref="A501:B501"/>
    <mergeCell ref="A490:B490"/>
    <mergeCell ref="A491:B491"/>
    <mergeCell ref="A492:B492"/>
    <mergeCell ref="A493:B493"/>
    <mergeCell ref="A494:B494"/>
    <mergeCell ref="A495:B495"/>
    <mergeCell ref="A484:B484"/>
    <mergeCell ref="A485:B485"/>
    <mergeCell ref="A486:B486"/>
    <mergeCell ref="A487:B487"/>
    <mergeCell ref="A488:B488"/>
    <mergeCell ref="A489:B489"/>
    <mergeCell ref="A478:B478"/>
    <mergeCell ref="A479:B479"/>
    <mergeCell ref="A480:B480"/>
    <mergeCell ref="A481:B481"/>
    <mergeCell ref="A482:B482"/>
    <mergeCell ref="A483:B483"/>
    <mergeCell ref="A472:B472"/>
    <mergeCell ref="A473:B473"/>
    <mergeCell ref="A474:B474"/>
    <mergeCell ref="A475:B475"/>
    <mergeCell ref="A476:B476"/>
    <mergeCell ref="A477:B477"/>
    <mergeCell ref="A466:B466"/>
    <mergeCell ref="A467:B467"/>
    <mergeCell ref="A468:B468"/>
    <mergeCell ref="A469:B469"/>
    <mergeCell ref="A470:B470"/>
    <mergeCell ref="A471:B471"/>
    <mergeCell ref="A460:B460"/>
    <mergeCell ref="A461:B461"/>
    <mergeCell ref="A462:B462"/>
    <mergeCell ref="A463:B463"/>
    <mergeCell ref="A464:B464"/>
    <mergeCell ref="A465:B465"/>
    <mergeCell ref="A454:B454"/>
    <mergeCell ref="A455:B455"/>
    <mergeCell ref="A456:B456"/>
    <mergeCell ref="A457:B457"/>
    <mergeCell ref="A458:B458"/>
    <mergeCell ref="A459:B459"/>
    <mergeCell ref="A448:B448"/>
    <mergeCell ref="A449:B449"/>
    <mergeCell ref="A450:B450"/>
    <mergeCell ref="A451:B451"/>
    <mergeCell ref="A452:B452"/>
    <mergeCell ref="A453:B453"/>
    <mergeCell ref="A442:B442"/>
    <mergeCell ref="A443:B443"/>
    <mergeCell ref="A444:B444"/>
    <mergeCell ref="A445:B445"/>
    <mergeCell ref="A446:B446"/>
    <mergeCell ref="A447:B447"/>
    <mergeCell ref="A436:B436"/>
    <mergeCell ref="A437:B437"/>
    <mergeCell ref="A438:B438"/>
    <mergeCell ref="A439:B439"/>
    <mergeCell ref="A440:B440"/>
    <mergeCell ref="A441:B441"/>
    <mergeCell ref="A430:B430"/>
    <mergeCell ref="A431:B431"/>
    <mergeCell ref="A432:B432"/>
    <mergeCell ref="A433:B433"/>
    <mergeCell ref="A434:B434"/>
    <mergeCell ref="A435:B435"/>
    <mergeCell ref="A424:B424"/>
    <mergeCell ref="A425:B425"/>
    <mergeCell ref="A426:B426"/>
    <mergeCell ref="A427:B427"/>
    <mergeCell ref="A428:B428"/>
    <mergeCell ref="A429:B429"/>
    <mergeCell ref="A418:B418"/>
    <mergeCell ref="A419:B419"/>
    <mergeCell ref="A420:B420"/>
    <mergeCell ref="A421:B421"/>
    <mergeCell ref="A422:B422"/>
    <mergeCell ref="A423:B423"/>
    <mergeCell ref="A412:B412"/>
    <mergeCell ref="A413:B413"/>
    <mergeCell ref="A414:B414"/>
    <mergeCell ref="A415:B415"/>
    <mergeCell ref="A416:B416"/>
    <mergeCell ref="A417:B417"/>
    <mergeCell ref="A406:B406"/>
    <mergeCell ref="A407:B407"/>
    <mergeCell ref="A408:B408"/>
    <mergeCell ref="A409:B409"/>
    <mergeCell ref="A410:B410"/>
    <mergeCell ref="A411:B411"/>
    <mergeCell ref="A400:B400"/>
    <mergeCell ref="A401:B401"/>
    <mergeCell ref="A402:B402"/>
    <mergeCell ref="A403:B403"/>
    <mergeCell ref="A404:B404"/>
    <mergeCell ref="A405:B405"/>
    <mergeCell ref="A394:B394"/>
    <mergeCell ref="A395:B395"/>
    <mergeCell ref="A396:B396"/>
    <mergeCell ref="A397:B397"/>
    <mergeCell ref="A398:B398"/>
    <mergeCell ref="A399:B399"/>
    <mergeCell ref="A388:B388"/>
    <mergeCell ref="A389:B389"/>
    <mergeCell ref="A390:B390"/>
    <mergeCell ref="A391:B391"/>
    <mergeCell ref="A392:B392"/>
    <mergeCell ref="A393:B393"/>
    <mergeCell ref="A382:B382"/>
    <mergeCell ref="A383:B383"/>
    <mergeCell ref="A384:B384"/>
    <mergeCell ref="A385:B385"/>
    <mergeCell ref="A386:B386"/>
    <mergeCell ref="A387:B387"/>
    <mergeCell ref="A376:B376"/>
    <mergeCell ref="A377:B377"/>
    <mergeCell ref="A378:B378"/>
    <mergeCell ref="A379:B379"/>
    <mergeCell ref="A380:B380"/>
    <mergeCell ref="A381:B381"/>
    <mergeCell ref="A370:B370"/>
    <mergeCell ref="A371:B371"/>
    <mergeCell ref="A372:B372"/>
    <mergeCell ref="A373:B373"/>
    <mergeCell ref="A374:B374"/>
    <mergeCell ref="A375:B375"/>
    <mergeCell ref="A364:B364"/>
    <mergeCell ref="A365:B365"/>
    <mergeCell ref="A366:B366"/>
    <mergeCell ref="A367:B367"/>
    <mergeCell ref="A368:B368"/>
    <mergeCell ref="A369:B369"/>
    <mergeCell ref="A358:B358"/>
    <mergeCell ref="A359:B359"/>
    <mergeCell ref="A360:B360"/>
    <mergeCell ref="A361:B361"/>
    <mergeCell ref="A362:B362"/>
    <mergeCell ref="A363:B363"/>
    <mergeCell ref="A352:B352"/>
    <mergeCell ref="A353:B353"/>
    <mergeCell ref="A354:B354"/>
    <mergeCell ref="A355:B355"/>
    <mergeCell ref="A356:B356"/>
    <mergeCell ref="A357:B357"/>
    <mergeCell ref="A346:B346"/>
    <mergeCell ref="A347:B347"/>
    <mergeCell ref="A348:B348"/>
    <mergeCell ref="A349:B349"/>
    <mergeCell ref="A350:B350"/>
    <mergeCell ref="A351:B351"/>
    <mergeCell ref="A340:B340"/>
    <mergeCell ref="A341:B341"/>
    <mergeCell ref="A342:B342"/>
    <mergeCell ref="A343:B343"/>
    <mergeCell ref="A344:B344"/>
    <mergeCell ref="A345:B345"/>
    <mergeCell ref="A334:B334"/>
    <mergeCell ref="A335:B335"/>
    <mergeCell ref="A336:B336"/>
    <mergeCell ref="A337:B337"/>
    <mergeCell ref="A338:B338"/>
    <mergeCell ref="A339:B339"/>
    <mergeCell ref="A328:B328"/>
    <mergeCell ref="A329:B329"/>
    <mergeCell ref="A330:B330"/>
    <mergeCell ref="A331:B331"/>
    <mergeCell ref="A332:B332"/>
    <mergeCell ref="A333:B333"/>
    <mergeCell ref="A322:B322"/>
    <mergeCell ref="A323:B323"/>
    <mergeCell ref="A324:B324"/>
    <mergeCell ref="A325:B325"/>
    <mergeCell ref="A326:B326"/>
    <mergeCell ref="A327:B327"/>
    <mergeCell ref="A316:B316"/>
    <mergeCell ref="A317:B317"/>
    <mergeCell ref="A318:B318"/>
    <mergeCell ref="A319:B319"/>
    <mergeCell ref="A320:B320"/>
    <mergeCell ref="A321:B321"/>
    <mergeCell ref="A310:B310"/>
    <mergeCell ref="A311:B311"/>
    <mergeCell ref="A312:B312"/>
    <mergeCell ref="A313:B313"/>
    <mergeCell ref="A314:B314"/>
    <mergeCell ref="A315:B315"/>
    <mergeCell ref="A304:B304"/>
    <mergeCell ref="A305:B305"/>
    <mergeCell ref="A306:B306"/>
    <mergeCell ref="A307:B307"/>
    <mergeCell ref="A308:B308"/>
    <mergeCell ref="A309:B309"/>
    <mergeCell ref="A298:B298"/>
    <mergeCell ref="A299:B299"/>
    <mergeCell ref="A300:B300"/>
    <mergeCell ref="A301:B301"/>
    <mergeCell ref="A302:B302"/>
    <mergeCell ref="A303:B303"/>
    <mergeCell ref="A292:B292"/>
    <mergeCell ref="A293:B293"/>
    <mergeCell ref="A294:B294"/>
    <mergeCell ref="A295:B295"/>
    <mergeCell ref="A296:B296"/>
    <mergeCell ref="A297:B297"/>
    <mergeCell ref="A286:B286"/>
    <mergeCell ref="A287:B287"/>
    <mergeCell ref="A288:B288"/>
    <mergeCell ref="A289:B289"/>
    <mergeCell ref="A290:B290"/>
    <mergeCell ref="A291:B291"/>
    <mergeCell ref="A280:B280"/>
    <mergeCell ref="A281:B281"/>
    <mergeCell ref="A282:B282"/>
    <mergeCell ref="A283:B283"/>
    <mergeCell ref="A284:B284"/>
    <mergeCell ref="A285:B285"/>
    <mergeCell ref="A274:B274"/>
    <mergeCell ref="A275:B275"/>
    <mergeCell ref="A276:B276"/>
    <mergeCell ref="A277:B277"/>
    <mergeCell ref="A278:B278"/>
    <mergeCell ref="A279:B279"/>
    <mergeCell ref="A268:B268"/>
    <mergeCell ref="A269:B269"/>
    <mergeCell ref="A270:B270"/>
    <mergeCell ref="A271:B271"/>
    <mergeCell ref="A272:B272"/>
    <mergeCell ref="A273:B273"/>
    <mergeCell ref="A262:B262"/>
    <mergeCell ref="A263:B263"/>
    <mergeCell ref="A264:B264"/>
    <mergeCell ref="A265:B265"/>
    <mergeCell ref="A266:B266"/>
    <mergeCell ref="A267:B267"/>
    <mergeCell ref="A256:B256"/>
    <mergeCell ref="A257:B257"/>
    <mergeCell ref="A258:B258"/>
    <mergeCell ref="A259:B259"/>
    <mergeCell ref="A260:B260"/>
    <mergeCell ref="A261:B261"/>
    <mergeCell ref="A250:B250"/>
    <mergeCell ref="A251:B251"/>
    <mergeCell ref="A252:B252"/>
    <mergeCell ref="A253:B253"/>
    <mergeCell ref="A254:B254"/>
    <mergeCell ref="A255:B255"/>
    <mergeCell ref="A249:B249"/>
    <mergeCell ref="A234:B234"/>
    <mergeCell ref="A235:B235"/>
    <mergeCell ref="A236:B236"/>
    <mergeCell ref="A242:B242"/>
    <mergeCell ref="A243:B243"/>
    <mergeCell ref="A244:B244"/>
    <mergeCell ref="A245:B245"/>
    <mergeCell ref="A246:B246"/>
    <mergeCell ref="A224:B224"/>
    <mergeCell ref="A233:B233"/>
    <mergeCell ref="A222:B222"/>
    <mergeCell ref="A223:B223"/>
    <mergeCell ref="A237:B237"/>
    <mergeCell ref="A238:B238"/>
    <mergeCell ref="A239:B239"/>
    <mergeCell ref="A240:B240"/>
    <mergeCell ref="A241:B241"/>
    <mergeCell ref="A227:B227"/>
    <mergeCell ref="A228:B228"/>
    <mergeCell ref="A229:B229"/>
    <mergeCell ref="A230:B230"/>
    <mergeCell ref="A231:B231"/>
    <mergeCell ref="A232:B232"/>
    <mergeCell ref="A226:B226"/>
    <mergeCell ref="A173:B173"/>
    <mergeCell ref="A203:B203"/>
    <mergeCell ref="A204:B204"/>
    <mergeCell ref="A205:B205"/>
    <mergeCell ref="A189:B189"/>
    <mergeCell ref="A190:B190"/>
    <mergeCell ref="A191:B191"/>
    <mergeCell ref="A211:B211"/>
    <mergeCell ref="A197:B197"/>
    <mergeCell ref="A198:B198"/>
    <mergeCell ref="A202:B202"/>
    <mergeCell ref="A199:B199"/>
    <mergeCell ref="A200:B200"/>
    <mergeCell ref="A201:B201"/>
    <mergeCell ref="A206:B206"/>
    <mergeCell ref="A207:B207"/>
    <mergeCell ref="A209:B209"/>
    <mergeCell ref="A210:B210"/>
    <mergeCell ref="A208:B208"/>
    <mergeCell ref="A194:B194"/>
    <mergeCell ref="A195:B195"/>
    <mergeCell ref="A196:B196"/>
    <mergeCell ref="A192:B192"/>
    <mergeCell ref="A177:B177"/>
    <mergeCell ref="A178:B178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03:B103"/>
    <mergeCell ref="A104:B104"/>
    <mergeCell ref="A105:B105"/>
    <mergeCell ref="A156:B156"/>
    <mergeCell ref="A157:B157"/>
    <mergeCell ref="A158:B158"/>
    <mergeCell ref="A132:B132"/>
    <mergeCell ref="A133:B133"/>
    <mergeCell ref="A155:B15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06:B106"/>
    <mergeCell ref="A107:B107"/>
    <mergeCell ref="A108:B108"/>
    <mergeCell ref="A97:B97"/>
    <mergeCell ref="A98:B98"/>
    <mergeCell ref="A99:B99"/>
    <mergeCell ref="A100:B100"/>
    <mergeCell ref="A101:B101"/>
    <mergeCell ref="A91:F91"/>
    <mergeCell ref="A92:E92"/>
    <mergeCell ref="B93:E93"/>
    <mergeCell ref="B94:E94"/>
    <mergeCell ref="A81:G90"/>
    <mergeCell ref="A73:E73"/>
    <mergeCell ref="A72:E72"/>
    <mergeCell ref="A75:E75"/>
    <mergeCell ref="A76:E76"/>
    <mergeCell ref="A77:E77"/>
    <mergeCell ref="A78:E78"/>
    <mergeCell ref="A79:E79"/>
    <mergeCell ref="A70:E70"/>
    <mergeCell ref="A71:E71"/>
    <mergeCell ref="A67:E67"/>
    <mergeCell ref="A68:E68"/>
    <mergeCell ref="A69:E69"/>
    <mergeCell ref="A64:E64"/>
    <mergeCell ref="A65:E65"/>
    <mergeCell ref="A66:E66"/>
    <mergeCell ref="A63:E63"/>
    <mergeCell ref="A45:E45"/>
    <mergeCell ref="A46:E46"/>
    <mergeCell ref="A31:E31"/>
    <mergeCell ref="A32:E32"/>
    <mergeCell ref="A33:E33"/>
    <mergeCell ref="A36:E36"/>
    <mergeCell ref="A39:E39"/>
    <mergeCell ref="C40:E40"/>
    <mergeCell ref="A40:B40"/>
    <mergeCell ref="F11:G11"/>
    <mergeCell ref="F12:G12"/>
    <mergeCell ref="F13:G13"/>
    <mergeCell ref="F14:G14"/>
    <mergeCell ref="F15:G15"/>
    <mergeCell ref="F16:G16"/>
    <mergeCell ref="D11:E11"/>
    <mergeCell ref="D12:E12"/>
    <mergeCell ref="D13:E13"/>
    <mergeCell ref="D14:E14"/>
    <mergeCell ref="D15:E15"/>
    <mergeCell ref="D16:E16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48:B148"/>
    <mergeCell ref="A149:B149"/>
    <mergeCell ref="A150:B150"/>
    <mergeCell ref="A124:B124"/>
    <mergeCell ref="A125:B125"/>
    <mergeCell ref="A126:B126"/>
    <mergeCell ref="A127:B127"/>
    <mergeCell ref="A128:B128"/>
    <mergeCell ref="A129:B129"/>
    <mergeCell ref="A130:B130"/>
    <mergeCell ref="A134:B134"/>
    <mergeCell ref="A135:B135"/>
    <mergeCell ref="A131:B131"/>
    <mergeCell ref="A168:B168"/>
    <mergeCell ref="A171:B171"/>
    <mergeCell ref="A172:B172"/>
    <mergeCell ref="A159:B159"/>
    <mergeCell ref="A152:B152"/>
    <mergeCell ref="A153:B153"/>
    <mergeCell ref="A154:B154"/>
    <mergeCell ref="A151:B151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9:B169"/>
    <mergeCell ref="A170:B170"/>
    <mergeCell ref="A819:B819"/>
    <mergeCell ref="A818:B818"/>
    <mergeCell ref="A817:B817"/>
    <mergeCell ref="A816:B816"/>
    <mergeCell ref="A815:B815"/>
    <mergeCell ref="A814:B814"/>
    <mergeCell ref="A813:B813"/>
    <mergeCell ref="A812:B812"/>
    <mergeCell ref="A811:B811"/>
    <mergeCell ref="B13:C13"/>
    <mergeCell ref="B12:C12"/>
    <mergeCell ref="B11:C11"/>
    <mergeCell ref="A810:B810"/>
    <mergeCell ref="A809:B809"/>
    <mergeCell ref="A808:B808"/>
    <mergeCell ref="A807:B807"/>
    <mergeCell ref="A806:B806"/>
    <mergeCell ref="A805:B805"/>
    <mergeCell ref="A804:B804"/>
    <mergeCell ref="A803:B803"/>
    <mergeCell ref="A802:B802"/>
    <mergeCell ref="A247:B247"/>
    <mergeCell ref="A248:B248"/>
    <mergeCell ref="A213:B213"/>
    <mergeCell ref="A214:B214"/>
    <mergeCell ref="A218:B218"/>
    <mergeCell ref="A219:B219"/>
    <mergeCell ref="A220:B220"/>
    <mergeCell ref="A221:B221"/>
    <mergeCell ref="A225:B225"/>
    <mergeCell ref="A215:B215"/>
    <mergeCell ref="A216:B216"/>
    <mergeCell ref="A217:B217"/>
    <mergeCell ref="A47:E47"/>
    <mergeCell ref="A48:E48"/>
    <mergeCell ref="A56:E56"/>
    <mergeCell ref="A57:E57"/>
    <mergeCell ref="A58:E58"/>
    <mergeCell ref="A59:E59"/>
    <mergeCell ref="B16:C16"/>
    <mergeCell ref="B15:C15"/>
    <mergeCell ref="B14:C14"/>
    <mergeCell ref="A30:E30"/>
    <mergeCell ref="A20:E20"/>
    <mergeCell ref="A21:E21"/>
    <mergeCell ref="A22:E22"/>
    <mergeCell ref="A23:E23"/>
    <mergeCell ref="A24:E24"/>
    <mergeCell ref="A41:E41"/>
    <mergeCell ref="A42:E42"/>
    <mergeCell ref="A43:E43"/>
    <mergeCell ref="A25:E25"/>
    <mergeCell ref="A26:E26"/>
    <mergeCell ref="A27:E27"/>
    <mergeCell ref="A28:E28"/>
    <mergeCell ref="A29:E29"/>
    <mergeCell ref="A44:E44"/>
  </mergeCells>
  <phoneticPr fontId="17" type="noConversion"/>
  <pageMargins left="0.7" right="0.7" top="0.75" bottom="0.75" header="0.3" footer="0.3"/>
  <pageSetup paperSize="9" scale="70" orientation="portrait" horizontalDpi="0" verticalDpi="0" r:id="rId1"/>
  <rowBreaks count="4" manualBreakCount="4">
    <brk id="78" max="16383" man="1"/>
    <brk id="131" max="16383" man="1"/>
    <brk id="199" max="16383" man="1"/>
    <brk id="25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Q219"/>
  <sheetViews>
    <sheetView tabSelected="1" zoomScale="120" zoomScaleNormal="120" zoomScalePageLayoutView="120" workbookViewId="0">
      <selection activeCell="F16" sqref="F16"/>
    </sheetView>
  </sheetViews>
  <sheetFormatPr baseColWidth="10" defaultRowHeight="18"/>
  <cols>
    <col min="1" max="1" width="4.140625" customWidth="1"/>
    <col min="5" max="5" width="13.140625" customWidth="1"/>
    <col min="6" max="6" width="10.7109375" style="31" customWidth="1"/>
    <col min="7" max="7" width="8.42578125" customWidth="1"/>
    <col min="8" max="8" width="6.140625" customWidth="1"/>
    <col min="9" max="9" width="13.140625" customWidth="1"/>
    <col min="10" max="10" width="16.28515625" customWidth="1"/>
    <col min="11" max="11" width="12.5703125" customWidth="1"/>
    <col min="12" max="12" width="3.140625" customWidth="1"/>
    <col min="13" max="13" width="15.85546875" customWidth="1"/>
    <col min="16" max="16" width="14.7109375" customWidth="1"/>
    <col min="17" max="17" width="16.42578125" customWidth="1"/>
  </cols>
  <sheetData>
    <row r="1" spans="2:17">
      <c r="B1" s="109"/>
      <c r="C1" s="109"/>
      <c r="D1" s="109"/>
      <c r="E1" s="109"/>
    </row>
    <row r="2" spans="2:17" ht="20">
      <c r="B2" s="153" t="s">
        <v>70</v>
      </c>
      <c r="C2" s="153"/>
      <c r="D2" s="153"/>
      <c r="E2" s="153"/>
    </row>
    <row r="3" spans="2:17" ht="19" thickBot="1">
      <c r="B3" s="109"/>
      <c r="C3" s="109"/>
      <c r="D3" s="109"/>
      <c r="E3" s="109"/>
    </row>
    <row r="4" spans="2:17" ht="20">
      <c r="B4" s="28" t="s">
        <v>1</v>
      </c>
      <c r="C4" s="158"/>
      <c r="D4" s="159"/>
      <c r="E4" s="160"/>
    </row>
    <row r="5" spans="2:17" ht="21" thickBot="1">
      <c r="B5" s="29" t="s">
        <v>3</v>
      </c>
      <c r="C5" s="161"/>
      <c r="D5" s="162"/>
      <c r="E5" s="163"/>
    </row>
    <row r="6" spans="2:17" ht="19" thickBot="1">
      <c r="B6" s="109"/>
      <c r="C6" s="109"/>
      <c r="D6" s="109"/>
      <c r="E6" s="109"/>
    </row>
    <row r="7" spans="2:17" ht="21" thickBot="1">
      <c r="B7" s="154" t="s">
        <v>71</v>
      </c>
      <c r="C7" s="155"/>
      <c r="D7" s="155"/>
      <c r="E7" s="155"/>
      <c r="F7" s="33" t="s">
        <v>21</v>
      </c>
      <c r="G7" s="34" t="s">
        <v>19</v>
      </c>
      <c r="H7" s="34" t="s">
        <v>20</v>
      </c>
      <c r="I7" s="34" t="s">
        <v>59</v>
      </c>
      <c r="J7" s="34" t="s">
        <v>60</v>
      </c>
      <c r="K7" s="35" t="s">
        <v>72</v>
      </c>
      <c r="M7" s="48" t="s">
        <v>156</v>
      </c>
      <c r="N7" s="190" t="s">
        <v>157</v>
      </c>
      <c r="O7" s="190"/>
      <c r="P7" s="190"/>
      <c r="Q7" s="49" t="s">
        <v>158</v>
      </c>
    </row>
    <row r="8" spans="2:17" ht="20">
      <c r="B8" s="156" t="s">
        <v>73</v>
      </c>
      <c r="C8" s="157"/>
      <c r="D8" s="157"/>
      <c r="E8" s="157"/>
      <c r="F8" s="67"/>
      <c r="G8" s="68"/>
      <c r="H8" s="68"/>
      <c r="I8" s="69"/>
      <c r="J8" s="70"/>
      <c r="K8" s="71"/>
      <c r="M8" s="43"/>
      <c r="N8" s="191"/>
      <c r="O8" s="191"/>
      <c r="P8" s="191"/>
      <c r="Q8" s="43"/>
    </row>
    <row r="9" spans="2:17">
      <c r="B9" s="164" t="s">
        <v>74</v>
      </c>
      <c r="C9" s="165"/>
      <c r="D9" s="165"/>
      <c r="E9" s="165"/>
      <c r="F9" s="36">
        <v>800</v>
      </c>
      <c r="G9" s="37">
        <v>0</v>
      </c>
      <c r="H9" s="37">
        <v>1</v>
      </c>
      <c r="I9" s="45">
        <f t="shared" ref="I9:I34" si="0">F9*G9*H9</f>
        <v>0</v>
      </c>
      <c r="J9" s="86">
        <f>I9*$I$138</f>
        <v>0</v>
      </c>
      <c r="K9" s="38"/>
      <c r="M9" s="37"/>
      <c r="N9" s="165"/>
      <c r="O9" s="165"/>
      <c r="P9" s="165"/>
      <c r="Q9" s="37"/>
    </row>
    <row r="10" spans="2:17">
      <c r="B10" s="164" t="s">
        <v>75</v>
      </c>
      <c r="C10" s="165"/>
      <c r="D10" s="165"/>
      <c r="E10" s="165"/>
      <c r="F10" s="36">
        <v>4000</v>
      </c>
      <c r="G10" s="37"/>
      <c r="H10" s="37"/>
      <c r="I10" s="45">
        <f t="shared" si="0"/>
        <v>0</v>
      </c>
      <c r="J10" s="86">
        <f t="shared" ref="J10:J45" si="1">I10*$I$138</f>
        <v>0</v>
      </c>
      <c r="K10" s="38"/>
      <c r="M10" s="37"/>
      <c r="N10" s="165"/>
      <c r="O10" s="165"/>
      <c r="P10" s="165"/>
      <c r="Q10" s="37"/>
    </row>
    <row r="11" spans="2:17">
      <c r="B11" s="164" t="s">
        <v>195</v>
      </c>
      <c r="C11" s="165"/>
      <c r="D11" s="165"/>
      <c r="E11" s="165"/>
      <c r="F11" s="36">
        <v>1800</v>
      </c>
      <c r="G11" s="37">
        <v>0</v>
      </c>
      <c r="H11" s="37">
        <v>1</v>
      </c>
      <c r="I11" s="45">
        <f t="shared" si="0"/>
        <v>0</v>
      </c>
      <c r="J11" s="86">
        <f t="shared" si="1"/>
        <v>0</v>
      </c>
      <c r="K11" s="38"/>
      <c r="M11" s="37"/>
      <c r="N11" s="192" t="s">
        <v>297</v>
      </c>
      <c r="O11" s="192"/>
      <c r="P11" s="192"/>
      <c r="Q11" s="37"/>
    </row>
    <row r="12" spans="2:17">
      <c r="B12" s="166" t="s">
        <v>179</v>
      </c>
      <c r="C12" s="167"/>
      <c r="D12" s="167"/>
      <c r="E12" s="167"/>
      <c r="F12" s="78">
        <v>1500</v>
      </c>
      <c r="G12" s="79"/>
      <c r="H12" s="79"/>
      <c r="I12" s="80">
        <f t="shared" si="0"/>
        <v>0</v>
      </c>
      <c r="J12" s="86">
        <f t="shared" si="1"/>
        <v>0</v>
      </c>
      <c r="K12" s="81"/>
      <c r="M12" s="37"/>
      <c r="N12" s="165"/>
      <c r="O12" s="165"/>
      <c r="P12" s="165"/>
      <c r="Q12" s="37"/>
    </row>
    <row r="13" spans="2:17">
      <c r="B13" s="166" t="s">
        <v>180</v>
      </c>
      <c r="C13" s="167"/>
      <c r="D13" s="167"/>
      <c r="E13" s="167"/>
      <c r="F13" s="78">
        <v>750</v>
      </c>
      <c r="G13" s="79"/>
      <c r="H13" s="79"/>
      <c r="I13" s="80">
        <f t="shared" si="0"/>
        <v>0</v>
      </c>
      <c r="J13" s="86">
        <f t="shared" si="1"/>
        <v>0</v>
      </c>
      <c r="K13" s="81"/>
      <c r="M13" s="37"/>
      <c r="N13" s="165"/>
      <c r="O13" s="165"/>
      <c r="P13" s="165"/>
      <c r="Q13" s="37"/>
    </row>
    <row r="14" spans="2:17">
      <c r="B14" s="166" t="s">
        <v>184</v>
      </c>
      <c r="C14" s="167"/>
      <c r="D14" s="167"/>
      <c r="E14" s="167"/>
      <c r="F14" s="78">
        <v>750</v>
      </c>
      <c r="G14" s="79"/>
      <c r="H14" s="79"/>
      <c r="I14" s="80">
        <f t="shared" si="0"/>
        <v>0</v>
      </c>
      <c r="J14" s="86">
        <f t="shared" si="1"/>
        <v>0</v>
      </c>
      <c r="K14" s="81"/>
      <c r="M14" s="37"/>
      <c r="N14" s="165"/>
      <c r="O14" s="165"/>
      <c r="P14" s="165"/>
      <c r="Q14" s="37"/>
    </row>
    <row r="15" spans="2:17">
      <c r="B15" s="164" t="s">
        <v>280</v>
      </c>
      <c r="C15" s="165"/>
      <c r="D15" s="165"/>
      <c r="E15" s="165"/>
      <c r="F15" s="36">
        <v>0</v>
      </c>
      <c r="G15" s="37">
        <v>0</v>
      </c>
      <c r="H15" s="37">
        <v>1</v>
      </c>
      <c r="I15" s="45">
        <f t="shared" si="0"/>
        <v>0</v>
      </c>
      <c r="J15" s="86">
        <f t="shared" si="1"/>
        <v>0</v>
      </c>
      <c r="K15" s="38"/>
      <c r="M15" s="37"/>
      <c r="N15" s="165"/>
      <c r="O15" s="165"/>
      <c r="P15" s="165"/>
      <c r="Q15" s="37"/>
    </row>
    <row r="16" spans="2:17">
      <c r="B16" s="164" t="s">
        <v>278</v>
      </c>
      <c r="C16" s="165"/>
      <c r="D16" s="165"/>
      <c r="E16" s="165"/>
      <c r="F16" s="36">
        <v>0</v>
      </c>
      <c r="G16" s="37">
        <v>0</v>
      </c>
      <c r="H16" s="37">
        <v>0</v>
      </c>
      <c r="I16" s="45">
        <f t="shared" si="0"/>
        <v>0</v>
      </c>
      <c r="J16" s="86">
        <f t="shared" si="1"/>
        <v>0</v>
      </c>
      <c r="K16" s="38"/>
      <c r="M16" s="37"/>
      <c r="N16" s="165"/>
      <c r="O16" s="165"/>
      <c r="P16" s="165"/>
      <c r="Q16" s="37"/>
    </row>
    <row r="17" spans="2:17">
      <c r="B17" s="85" t="s">
        <v>251</v>
      </c>
      <c r="C17" s="37"/>
      <c r="D17" s="37"/>
      <c r="E17" s="37"/>
      <c r="F17" s="36">
        <v>100</v>
      </c>
      <c r="G17" s="37"/>
      <c r="H17" s="37"/>
      <c r="I17" s="45">
        <f t="shared" ref="I17" si="2">F17*G17*H17</f>
        <v>0</v>
      </c>
      <c r="J17" s="86">
        <f t="shared" si="1"/>
        <v>0</v>
      </c>
      <c r="K17" s="38"/>
      <c r="M17" s="37"/>
      <c r="N17" s="37"/>
      <c r="O17" s="37"/>
      <c r="P17" s="37"/>
      <c r="Q17" s="37"/>
    </row>
    <row r="18" spans="2:17">
      <c r="B18" s="164" t="s">
        <v>76</v>
      </c>
      <c r="C18" s="165"/>
      <c r="D18" s="165"/>
      <c r="E18" s="165"/>
      <c r="F18" s="36">
        <v>100</v>
      </c>
      <c r="G18" s="37"/>
      <c r="H18" s="37"/>
      <c r="I18" s="45">
        <f t="shared" si="0"/>
        <v>0</v>
      </c>
      <c r="J18" s="86">
        <f t="shared" si="1"/>
        <v>0</v>
      </c>
      <c r="K18" s="38"/>
      <c r="M18" s="37"/>
      <c r="N18" s="165"/>
      <c r="O18" s="165"/>
      <c r="P18" s="165"/>
      <c r="Q18" s="37"/>
    </row>
    <row r="19" spans="2:17">
      <c r="B19" s="164" t="s">
        <v>279</v>
      </c>
      <c r="C19" s="165"/>
      <c r="D19" s="165"/>
      <c r="E19" s="165"/>
      <c r="F19" s="36">
        <v>200</v>
      </c>
      <c r="G19" s="37">
        <v>0</v>
      </c>
      <c r="H19" s="37">
        <v>1</v>
      </c>
      <c r="I19" s="45">
        <f t="shared" si="0"/>
        <v>0</v>
      </c>
      <c r="J19" s="86">
        <f t="shared" si="1"/>
        <v>0</v>
      </c>
      <c r="K19" s="38"/>
      <c r="M19" s="37"/>
      <c r="N19" s="165"/>
      <c r="O19" s="165"/>
      <c r="P19" s="165"/>
      <c r="Q19" s="37"/>
    </row>
    <row r="20" spans="2:17">
      <c r="B20" s="164" t="s">
        <v>77</v>
      </c>
      <c r="C20" s="165"/>
      <c r="D20" s="165"/>
      <c r="E20" s="165"/>
      <c r="F20" s="36">
        <v>50</v>
      </c>
      <c r="G20" s="37"/>
      <c r="H20" s="37"/>
      <c r="I20" s="45">
        <f t="shared" si="0"/>
        <v>0</v>
      </c>
      <c r="J20" s="86">
        <f t="shared" si="1"/>
        <v>0</v>
      </c>
      <c r="K20" s="38"/>
      <c r="M20" s="37"/>
      <c r="N20" s="165"/>
      <c r="O20" s="165"/>
      <c r="P20" s="165"/>
      <c r="Q20" s="37"/>
    </row>
    <row r="21" spans="2:17">
      <c r="B21" s="164" t="s">
        <v>78</v>
      </c>
      <c r="C21" s="165"/>
      <c r="D21" s="165"/>
      <c r="E21" s="165"/>
      <c r="F21" s="36">
        <v>500</v>
      </c>
      <c r="G21" s="37">
        <v>0</v>
      </c>
      <c r="H21" s="37">
        <v>1</v>
      </c>
      <c r="I21" s="45">
        <f t="shared" si="0"/>
        <v>0</v>
      </c>
      <c r="J21" s="86">
        <f t="shared" si="1"/>
        <v>0</v>
      </c>
      <c r="K21" s="38"/>
      <c r="M21" s="37"/>
      <c r="N21" s="165"/>
      <c r="O21" s="165"/>
      <c r="P21" s="165"/>
      <c r="Q21" s="37"/>
    </row>
    <row r="22" spans="2:17">
      <c r="B22" s="164" t="s">
        <v>79</v>
      </c>
      <c r="C22" s="165"/>
      <c r="D22" s="165"/>
      <c r="E22" s="165"/>
      <c r="F22" s="36">
        <v>500</v>
      </c>
      <c r="G22" s="37"/>
      <c r="H22" s="37"/>
      <c r="I22" s="45">
        <f t="shared" si="0"/>
        <v>0</v>
      </c>
      <c r="J22" s="86">
        <f t="shared" si="1"/>
        <v>0</v>
      </c>
      <c r="K22" s="38"/>
      <c r="M22" s="37"/>
      <c r="N22" s="165"/>
      <c r="O22" s="165"/>
      <c r="P22" s="165"/>
      <c r="Q22" s="37"/>
    </row>
    <row r="23" spans="2:17">
      <c r="B23" s="164" t="s">
        <v>80</v>
      </c>
      <c r="C23" s="165"/>
      <c r="D23" s="165"/>
      <c r="E23" s="165"/>
      <c r="F23" s="36">
        <v>350</v>
      </c>
      <c r="G23" s="37"/>
      <c r="H23" s="37"/>
      <c r="I23" s="45">
        <f t="shared" si="0"/>
        <v>0</v>
      </c>
      <c r="J23" s="86">
        <f t="shared" si="1"/>
        <v>0</v>
      </c>
      <c r="K23" s="38"/>
      <c r="M23" s="37"/>
      <c r="N23" s="165"/>
      <c r="O23" s="165"/>
      <c r="P23" s="165"/>
      <c r="Q23" s="37"/>
    </row>
    <row r="24" spans="2:17">
      <c r="B24" s="164" t="s">
        <v>81</v>
      </c>
      <c r="C24" s="165"/>
      <c r="D24" s="165"/>
      <c r="E24" s="165"/>
      <c r="F24" s="36">
        <v>350</v>
      </c>
      <c r="G24" s="37"/>
      <c r="H24" s="37"/>
      <c r="I24" s="45">
        <f t="shared" si="0"/>
        <v>0</v>
      </c>
      <c r="J24" s="86">
        <f t="shared" si="1"/>
        <v>0</v>
      </c>
      <c r="K24" s="38"/>
      <c r="M24" s="37"/>
      <c r="N24" s="165"/>
      <c r="O24" s="165"/>
      <c r="P24" s="165"/>
      <c r="Q24" s="37"/>
    </row>
    <row r="25" spans="2:17">
      <c r="B25" s="164" t="s">
        <v>82</v>
      </c>
      <c r="C25" s="165"/>
      <c r="D25" s="165"/>
      <c r="E25" s="165"/>
      <c r="F25" s="36">
        <v>150</v>
      </c>
      <c r="G25" s="37"/>
      <c r="H25" s="37"/>
      <c r="I25" s="45">
        <f t="shared" ref="I25:I26" si="3">F25*G25*H25</f>
        <v>0</v>
      </c>
      <c r="J25" s="86">
        <f t="shared" si="1"/>
        <v>0</v>
      </c>
      <c r="K25" s="38"/>
      <c r="M25" s="37"/>
      <c r="N25" s="165"/>
      <c r="O25" s="165"/>
      <c r="P25" s="165"/>
      <c r="Q25" s="37"/>
    </row>
    <row r="26" spans="2:17">
      <c r="B26" s="164" t="s">
        <v>136</v>
      </c>
      <c r="C26" s="165"/>
      <c r="D26" s="165"/>
      <c r="E26" s="165"/>
      <c r="F26" s="36">
        <v>150</v>
      </c>
      <c r="G26" s="37"/>
      <c r="H26" s="37"/>
      <c r="I26" s="45">
        <f t="shared" si="3"/>
        <v>0</v>
      </c>
      <c r="J26" s="86">
        <f t="shared" si="1"/>
        <v>0</v>
      </c>
      <c r="K26" s="38"/>
      <c r="M26" s="37"/>
      <c r="N26" s="165"/>
      <c r="O26" s="165"/>
      <c r="P26" s="165"/>
      <c r="Q26" s="37"/>
    </row>
    <row r="27" spans="2:17">
      <c r="B27" s="164" t="s">
        <v>135</v>
      </c>
      <c r="C27" s="165"/>
      <c r="D27" s="165"/>
      <c r="E27" s="165"/>
      <c r="F27" s="36">
        <v>80</v>
      </c>
      <c r="G27" s="37"/>
      <c r="H27" s="37"/>
      <c r="I27" s="45">
        <f t="shared" si="0"/>
        <v>0</v>
      </c>
      <c r="J27" s="86">
        <f t="shared" si="1"/>
        <v>0</v>
      </c>
      <c r="K27" s="38"/>
      <c r="M27" s="37"/>
      <c r="N27" s="165"/>
      <c r="O27" s="165"/>
      <c r="P27" s="165"/>
      <c r="Q27" s="37"/>
    </row>
    <row r="28" spans="2:17">
      <c r="B28" s="164" t="s">
        <v>83</v>
      </c>
      <c r="C28" s="165"/>
      <c r="D28" s="165"/>
      <c r="E28" s="165"/>
      <c r="F28" s="36">
        <v>300</v>
      </c>
      <c r="G28" s="37"/>
      <c r="H28" s="37"/>
      <c r="I28" s="45">
        <f t="shared" si="0"/>
        <v>0</v>
      </c>
      <c r="J28" s="86">
        <f t="shared" si="1"/>
        <v>0</v>
      </c>
      <c r="K28" s="38"/>
      <c r="M28" s="37"/>
      <c r="N28" s="165"/>
      <c r="O28" s="165"/>
      <c r="P28" s="165"/>
      <c r="Q28" s="37"/>
    </row>
    <row r="29" spans="2:17">
      <c r="B29" s="164" t="s">
        <v>84</v>
      </c>
      <c r="C29" s="165"/>
      <c r="D29" s="165"/>
      <c r="E29" s="165"/>
      <c r="F29" s="36">
        <v>150</v>
      </c>
      <c r="G29" s="37"/>
      <c r="H29" s="37"/>
      <c r="I29" s="45">
        <f t="shared" si="0"/>
        <v>0</v>
      </c>
      <c r="J29" s="86">
        <f t="shared" si="1"/>
        <v>0</v>
      </c>
      <c r="K29" s="38"/>
      <c r="M29" s="37"/>
      <c r="N29" s="165"/>
      <c r="O29" s="165"/>
      <c r="P29" s="165"/>
      <c r="Q29" s="37"/>
    </row>
    <row r="30" spans="2:17">
      <c r="B30" s="164" t="s">
        <v>85</v>
      </c>
      <c r="C30" s="165"/>
      <c r="D30" s="165"/>
      <c r="E30" s="165"/>
      <c r="F30" s="36">
        <v>350</v>
      </c>
      <c r="G30" s="37"/>
      <c r="H30" s="37"/>
      <c r="I30" s="45">
        <f t="shared" si="0"/>
        <v>0</v>
      </c>
      <c r="J30" s="86">
        <f t="shared" si="1"/>
        <v>0</v>
      </c>
      <c r="K30" s="38"/>
      <c r="M30" s="37"/>
      <c r="N30" s="165"/>
      <c r="O30" s="165"/>
      <c r="P30" s="165"/>
      <c r="Q30" s="37"/>
    </row>
    <row r="31" spans="2:17">
      <c r="B31" s="164" t="s">
        <v>194</v>
      </c>
      <c r="C31" s="165"/>
      <c r="D31" s="165"/>
      <c r="E31" s="165"/>
      <c r="F31" s="36">
        <v>100</v>
      </c>
      <c r="G31" s="37"/>
      <c r="H31" s="37"/>
      <c r="I31" s="45">
        <f t="shared" ref="I31" si="4">F31*G31*H31</f>
        <v>0</v>
      </c>
      <c r="J31" s="86">
        <f t="shared" si="1"/>
        <v>0</v>
      </c>
      <c r="K31" s="38"/>
      <c r="M31" s="37"/>
      <c r="N31" s="165"/>
      <c r="O31" s="165"/>
      <c r="P31" s="165"/>
      <c r="Q31" s="37"/>
    </row>
    <row r="32" spans="2:17">
      <c r="B32" s="164" t="s">
        <v>86</v>
      </c>
      <c r="C32" s="165"/>
      <c r="D32" s="165"/>
      <c r="E32" s="165"/>
      <c r="F32" s="36">
        <v>600</v>
      </c>
      <c r="G32" s="37">
        <v>0</v>
      </c>
      <c r="H32" s="37">
        <v>1</v>
      </c>
      <c r="I32" s="45">
        <f t="shared" si="0"/>
        <v>0</v>
      </c>
      <c r="J32" s="86">
        <f t="shared" si="1"/>
        <v>0</v>
      </c>
      <c r="K32" s="38"/>
      <c r="M32" s="37"/>
      <c r="N32" s="165"/>
      <c r="O32" s="165"/>
      <c r="P32" s="165"/>
      <c r="Q32" s="37"/>
    </row>
    <row r="33" spans="2:17">
      <c r="B33" s="164" t="s">
        <v>87</v>
      </c>
      <c r="C33" s="165"/>
      <c r="D33" s="165"/>
      <c r="E33" s="165"/>
      <c r="F33" s="36">
        <v>1200</v>
      </c>
      <c r="G33" s="37"/>
      <c r="H33" s="37"/>
      <c r="I33" s="45">
        <f t="shared" ref="I33" si="5">F33*G33*H33</f>
        <v>0</v>
      </c>
      <c r="J33" s="86">
        <f t="shared" si="1"/>
        <v>0</v>
      </c>
      <c r="K33" s="38"/>
      <c r="M33" s="37"/>
      <c r="N33" s="165"/>
      <c r="O33" s="165"/>
      <c r="P33" s="165"/>
      <c r="Q33" s="37"/>
    </row>
    <row r="34" spans="2:17">
      <c r="B34" s="164" t="s">
        <v>241</v>
      </c>
      <c r="C34" s="165"/>
      <c r="D34" s="165"/>
      <c r="E34" s="165"/>
      <c r="F34" s="36">
        <v>700</v>
      </c>
      <c r="G34" s="37"/>
      <c r="H34" s="37"/>
      <c r="I34" s="45">
        <f t="shared" si="0"/>
        <v>0</v>
      </c>
      <c r="J34" s="86">
        <f t="shared" si="1"/>
        <v>0</v>
      </c>
      <c r="K34" s="38"/>
      <c r="M34" s="37"/>
      <c r="N34" s="165"/>
      <c r="O34" s="165"/>
      <c r="P34" s="165"/>
      <c r="Q34" s="37"/>
    </row>
    <row r="35" spans="2:17">
      <c r="B35" s="164" t="s">
        <v>92</v>
      </c>
      <c r="C35" s="165"/>
      <c r="D35" s="165"/>
      <c r="E35" s="165"/>
      <c r="F35" s="36">
        <v>250</v>
      </c>
      <c r="G35" s="37"/>
      <c r="H35" s="37"/>
      <c r="I35" s="45">
        <f t="shared" ref="I35:I101" si="6">F35*G35*H35</f>
        <v>0</v>
      </c>
      <c r="J35" s="86">
        <f t="shared" si="1"/>
        <v>0</v>
      </c>
      <c r="K35" s="38"/>
      <c r="M35" s="37"/>
      <c r="N35" s="165"/>
      <c r="O35" s="165"/>
      <c r="P35" s="165"/>
      <c r="Q35" s="37"/>
    </row>
    <row r="36" spans="2:17">
      <c r="B36" s="164" t="s">
        <v>90</v>
      </c>
      <c r="C36" s="165"/>
      <c r="D36" s="165"/>
      <c r="E36" s="165"/>
      <c r="F36" s="36">
        <v>600</v>
      </c>
      <c r="G36" s="37"/>
      <c r="H36" s="37"/>
      <c r="I36" s="45">
        <f t="shared" si="6"/>
        <v>0</v>
      </c>
      <c r="J36" s="86">
        <f t="shared" si="1"/>
        <v>0</v>
      </c>
      <c r="K36" s="38"/>
      <c r="M36" s="37"/>
      <c r="N36" s="165"/>
      <c r="O36" s="165"/>
      <c r="P36" s="165"/>
      <c r="Q36" s="37"/>
    </row>
    <row r="37" spans="2:17">
      <c r="B37" s="164" t="s">
        <v>91</v>
      </c>
      <c r="C37" s="165"/>
      <c r="D37" s="165"/>
      <c r="E37" s="165"/>
      <c r="F37" s="36">
        <v>1000</v>
      </c>
      <c r="G37" s="37"/>
      <c r="H37" s="37"/>
      <c r="I37" s="45">
        <f t="shared" si="6"/>
        <v>0</v>
      </c>
      <c r="J37" s="86">
        <f t="shared" si="1"/>
        <v>0</v>
      </c>
      <c r="K37" s="38"/>
      <c r="M37" s="37"/>
      <c r="N37" s="165"/>
      <c r="O37" s="165"/>
      <c r="P37" s="165"/>
      <c r="Q37" s="37"/>
    </row>
    <row r="38" spans="2:17">
      <c r="B38" s="164" t="s">
        <v>106</v>
      </c>
      <c r="C38" s="165"/>
      <c r="D38" s="165"/>
      <c r="E38" s="165"/>
      <c r="F38" s="36">
        <f>((F11+F21+F22+F24+F25+F28+600)/12)*6</f>
        <v>2100</v>
      </c>
      <c r="G38" s="37"/>
      <c r="H38" s="37"/>
      <c r="I38" s="45">
        <f t="shared" si="6"/>
        <v>0</v>
      </c>
      <c r="J38" s="86">
        <f t="shared" si="1"/>
        <v>0</v>
      </c>
      <c r="K38" s="38"/>
      <c r="M38" s="37"/>
      <c r="N38" s="165"/>
      <c r="O38" s="165"/>
      <c r="P38" s="165"/>
      <c r="Q38" s="37"/>
    </row>
    <row r="39" spans="2:17">
      <c r="B39" s="164" t="s">
        <v>93</v>
      </c>
      <c r="C39" s="165"/>
      <c r="D39" s="165"/>
      <c r="E39" s="165"/>
      <c r="F39" s="36">
        <f>((F11+F21+F22+F24+F25+F28+600)/12)*8</f>
        <v>2800</v>
      </c>
      <c r="G39" s="37"/>
      <c r="H39" s="37"/>
      <c r="I39" s="45">
        <f t="shared" si="6"/>
        <v>0</v>
      </c>
      <c r="J39" s="86">
        <f t="shared" si="1"/>
        <v>0</v>
      </c>
      <c r="K39" s="38"/>
      <c r="M39" s="37"/>
      <c r="N39" s="165"/>
      <c r="O39" s="165"/>
      <c r="P39" s="165"/>
      <c r="Q39" s="37"/>
    </row>
    <row r="40" spans="2:17">
      <c r="B40" s="164" t="s">
        <v>255</v>
      </c>
      <c r="C40" s="165"/>
      <c r="D40" s="165"/>
      <c r="E40" s="165"/>
      <c r="F40" s="36">
        <v>250</v>
      </c>
      <c r="G40" s="37"/>
      <c r="H40" s="37"/>
      <c r="I40" s="45">
        <f t="shared" si="6"/>
        <v>0</v>
      </c>
      <c r="J40" s="86">
        <f t="shared" si="1"/>
        <v>0</v>
      </c>
      <c r="K40" s="38"/>
      <c r="M40" s="37"/>
      <c r="N40" s="165"/>
      <c r="O40" s="165"/>
      <c r="P40" s="165"/>
      <c r="Q40" s="37"/>
    </row>
    <row r="41" spans="2:17">
      <c r="B41" s="164" t="s">
        <v>56</v>
      </c>
      <c r="C41" s="165"/>
      <c r="D41" s="165"/>
      <c r="E41" s="165"/>
      <c r="F41" s="36">
        <v>100</v>
      </c>
      <c r="G41" s="37">
        <v>0</v>
      </c>
      <c r="H41" s="37">
        <v>1</v>
      </c>
      <c r="I41" s="45">
        <f t="shared" si="6"/>
        <v>0</v>
      </c>
      <c r="J41" s="86">
        <f t="shared" si="1"/>
        <v>0</v>
      </c>
      <c r="K41" s="38"/>
      <c r="M41" s="37"/>
      <c r="N41" s="165"/>
      <c r="O41" s="165"/>
      <c r="P41" s="165"/>
      <c r="Q41" s="37"/>
    </row>
    <row r="42" spans="2:17">
      <c r="B42" s="164" t="s">
        <v>94</v>
      </c>
      <c r="C42" s="165"/>
      <c r="D42" s="165"/>
      <c r="E42" s="165"/>
      <c r="F42" s="36"/>
      <c r="G42" s="37"/>
      <c r="H42" s="37"/>
      <c r="I42" s="45">
        <f t="shared" si="6"/>
        <v>0</v>
      </c>
      <c r="J42" s="86">
        <f t="shared" si="1"/>
        <v>0</v>
      </c>
      <c r="K42" s="38"/>
      <c r="M42" s="37"/>
      <c r="N42" s="165"/>
      <c r="O42" s="165"/>
      <c r="P42" s="165"/>
      <c r="Q42" s="37"/>
    </row>
    <row r="43" spans="2:17">
      <c r="B43" s="164" t="s">
        <v>246</v>
      </c>
      <c r="C43" s="165"/>
      <c r="D43" s="165"/>
      <c r="E43" s="165"/>
      <c r="F43" s="36">
        <f>'Pto. Dólares-Soles'!F20*10%</f>
        <v>0</v>
      </c>
      <c r="G43" s="37"/>
      <c r="H43" s="37"/>
      <c r="I43" s="45">
        <f t="shared" si="6"/>
        <v>0</v>
      </c>
      <c r="J43" s="86">
        <f t="shared" si="1"/>
        <v>0</v>
      </c>
      <c r="K43" s="38"/>
      <c r="M43" s="37"/>
      <c r="N43" s="165"/>
      <c r="O43" s="165"/>
      <c r="P43" s="165"/>
      <c r="Q43" s="37"/>
    </row>
    <row r="44" spans="2:17">
      <c r="B44" s="164" t="s">
        <v>95</v>
      </c>
      <c r="C44" s="165"/>
      <c r="D44" s="165"/>
      <c r="E44" s="165"/>
      <c r="F44" s="36">
        <f>I9</f>
        <v>0</v>
      </c>
      <c r="G44" s="37"/>
      <c r="H44" s="37"/>
      <c r="I44" s="45">
        <f t="shared" si="6"/>
        <v>0</v>
      </c>
      <c r="J44" s="86">
        <f t="shared" si="1"/>
        <v>0</v>
      </c>
      <c r="K44" s="38"/>
      <c r="M44" s="37"/>
      <c r="N44" s="165"/>
      <c r="O44" s="165"/>
      <c r="P44" s="165"/>
      <c r="Q44" s="37"/>
    </row>
    <row r="45" spans="2:17" ht="19" thickBot="1">
      <c r="B45" s="164"/>
      <c r="C45" s="165"/>
      <c r="D45" s="165"/>
      <c r="E45" s="165"/>
      <c r="F45" s="36"/>
      <c r="G45" s="37"/>
      <c r="H45" s="37"/>
      <c r="I45" s="45">
        <f t="shared" si="6"/>
        <v>0</v>
      </c>
      <c r="J45" s="86">
        <f t="shared" si="1"/>
        <v>0</v>
      </c>
      <c r="K45" s="41"/>
      <c r="M45" s="37"/>
      <c r="N45" s="165"/>
      <c r="O45" s="165"/>
      <c r="P45" s="165"/>
      <c r="Q45" s="37"/>
    </row>
    <row r="46" spans="2:17" ht="19" thickBot="1">
      <c r="B46" s="164"/>
      <c r="C46" s="165"/>
      <c r="D46" s="165"/>
      <c r="E46" s="165"/>
      <c r="F46" s="36"/>
      <c r="G46" s="37"/>
      <c r="H46" s="37"/>
      <c r="I46" s="45"/>
      <c r="J46" s="46"/>
      <c r="K46" s="47">
        <f>SUM(I8:I45)</f>
        <v>0</v>
      </c>
      <c r="M46" s="37"/>
      <c r="N46" s="165"/>
      <c r="O46" s="165"/>
      <c r="P46" s="165"/>
      <c r="Q46" s="37"/>
    </row>
    <row r="47" spans="2:17" ht="20">
      <c r="B47" s="171" t="s">
        <v>96</v>
      </c>
      <c r="C47" s="172"/>
      <c r="D47" s="172"/>
      <c r="E47" s="172"/>
      <c r="F47" s="62"/>
      <c r="G47" s="63"/>
      <c r="H47" s="63"/>
      <c r="I47" s="64"/>
      <c r="J47" s="65"/>
      <c r="K47" s="66"/>
      <c r="M47" s="37"/>
      <c r="N47" s="165"/>
      <c r="O47" s="165"/>
      <c r="P47" s="165"/>
      <c r="Q47" s="37"/>
    </row>
    <row r="48" spans="2:17">
      <c r="B48" s="168" t="s">
        <v>111</v>
      </c>
      <c r="C48" s="169"/>
      <c r="D48" s="169"/>
      <c r="E48" s="170"/>
      <c r="F48" s="36">
        <v>500</v>
      </c>
      <c r="G48" s="37"/>
      <c r="H48" s="37"/>
      <c r="I48" s="45">
        <f t="shared" si="6"/>
        <v>0</v>
      </c>
      <c r="J48" s="86">
        <f t="shared" ref="J48:J84" si="7">I48*$I$138</f>
        <v>0</v>
      </c>
      <c r="K48" s="38"/>
      <c r="M48" s="37"/>
      <c r="N48" s="165"/>
      <c r="O48" s="165"/>
      <c r="P48" s="165"/>
      <c r="Q48" s="37"/>
    </row>
    <row r="49" spans="2:17">
      <c r="B49" s="168" t="s">
        <v>97</v>
      </c>
      <c r="C49" s="169"/>
      <c r="D49" s="169"/>
      <c r="E49" s="170"/>
      <c r="F49" s="36">
        <v>800</v>
      </c>
      <c r="G49" s="37"/>
      <c r="H49" s="37"/>
      <c r="I49" s="45">
        <f t="shared" si="6"/>
        <v>0</v>
      </c>
      <c r="J49" s="86">
        <f t="shared" si="7"/>
        <v>0</v>
      </c>
      <c r="K49" s="38"/>
      <c r="M49" s="37"/>
      <c r="N49" s="165"/>
      <c r="O49" s="165"/>
      <c r="P49" s="165"/>
      <c r="Q49" s="37"/>
    </row>
    <row r="50" spans="2:17">
      <c r="B50" s="168" t="s">
        <v>262</v>
      </c>
      <c r="C50" s="169"/>
      <c r="D50" s="169"/>
      <c r="E50" s="170"/>
      <c r="F50" s="36">
        <v>500</v>
      </c>
      <c r="G50" s="37"/>
      <c r="H50" s="37"/>
      <c r="I50" s="45">
        <f t="shared" si="6"/>
        <v>0</v>
      </c>
      <c r="J50" s="86">
        <f t="shared" si="7"/>
        <v>0</v>
      </c>
      <c r="K50" s="38"/>
      <c r="M50" s="37"/>
      <c r="N50" s="165"/>
      <c r="O50" s="165"/>
      <c r="P50" s="165"/>
      <c r="Q50" s="37"/>
    </row>
    <row r="51" spans="2:17">
      <c r="B51" s="168" t="s">
        <v>98</v>
      </c>
      <c r="C51" s="169"/>
      <c r="D51" s="169"/>
      <c r="E51" s="170"/>
      <c r="F51" s="36">
        <v>1500</v>
      </c>
      <c r="G51" s="37"/>
      <c r="H51" s="37"/>
      <c r="I51" s="45">
        <f t="shared" si="6"/>
        <v>0</v>
      </c>
      <c r="J51" s="86">
        <f t="shared" si="7"/>
        <v>0</v>
      </c>
      <c r="K51" s="38"/>
      <c r="M51" s="37"/>
      <c r="N51" s="165"/>
      <c r="O51" s="165"/>
      <c r="P51" s="165"/>
      <c r="Q51" s="37"/>
    </row>
    <row r="52" spans="2:17">
      <c r="B52" s="168" t="s">
        <v>108</v>
      </c>
      <c r="C52" s="169"/>
      <c r="D52" s="169"/>
      <c r="E52" s="170"/>
      <c r="F52" s="36">
        <v>500</v>
      </c>
      <c r="G52" s="37"/>
      <c r="H52" s="37"/>
      <c r="I52" s="45">
        <f t="shared" si="6"/>
        <v>0</v>
      </c>
      <c r="J52" s="86">
        <f t="shared" si="7"/>
        <v>0</v>
      </c>
      <c r="K52" s="38"/>
      <c r="M52" s="37"/>
      <c r="N52" s="165"/>
      <c r="O52" s="165"/>
      <c r="P52" s="165"/>
      <c r="Q52" s="37"/>
    </row>
    <row r="53" spans="2:17">
      <c r="B53" s="168" t="s">
        <v>107</v>
      </c>
      <c r="C53" s="169"/>
      <c r="D53" s="169"/>
      <c r="E53" s="170"/>
      <c r="F53" s="36">
        <v>700</v>
      </c>
      <c r="G53" s="37"/>
      <c r="H53" s="37"/>
      <c r="I53" s="45">
        <f t="shared" si="6"/>
        <v>0</v>
      </c>
      <c r="J53" s="86">
        <f t="shared" si="7"/>
        <v>0</v>
      </c>
      <c r="K53" s="38"/>
      <c r="M53" s="37"/>
      <c r="N53" s="165"/>
      <c r="O53" s="165"/>
      <c r="P53" s="165"/>
      <c r="Q53" s="37"/>
    </row>
    <row r="54" spans="2:17">
      <c r="B54" s="168" t="s">
        <v>99</v>
      </c>
      <c r="C54" s="169"/>
      <c r="D54" s="169"/>
      <c r="E54" s="170"/>
      <c r="F54" s="36">
        <v>1000</v>
      </c>
      <c r="G54" s="37"/>
      <c r="H54" s="37"/>
      <c r="I54" s="45">
        <f t="shared" si="6"/>
        <v>0</v>
      </c>
      <c r="J54" s="86">
        <f t="shared" si="7"/>
        <v>0</v>
      </c>
      <c r="K54" s="38"/>
      <c r="M54" s="37"/>
      <c r="N54" s="165"/>
      <c r="O54" s="165"/>
      <c r="P54" s="165"/>
      <c r="Q54" s="37"/>
    </row>
    <row r="55" spans="2:17">
      <c r="B55" s="168" t="s">
        <v>109</v>
      </c>
      <c r="C55" s="169"/>
      <c r="D55" s="169"/>
      <c r="E55" s="170"/>
      <c r="F55" s="36">
        <v>700</v>
      </c>
      <c r="G55" s="37"/>
      <c r="H55" s="37"/>
      <c r="I55" s="45">
        <f t="shared" si="6"/>
        <v>0</v>
      </c>
      <c r="J55" s="86">
        <f t="shared" si="7"/>
        <v>0</v>
      </c>
      <c r="K55" s="38"/>
      <c r="M55" s="37"/>
      <c r="N55" s="165"/>
      <c r="O55" s="165"/>
      <c r="P55" s="165"/>
      <c r="Q55" s="37"/>
    </row>
    <row r="56" spans="2:17">
      <c r="B56" s="168" t="s">
        <v>137</v>
      </c>
      <c r="C56" s="169"/>
      <c r="D56" s="169"/>
      <c r="E56" s="170"/>
      <c r="F56" s="36">
        <v>3500</v>
      </c>
      <c r="G56" s="37"/>
      <c r="H56" s="37"/>
      <c r="I56" s="45">
        <f t="shared" si="6"/>
        <v>0</v>
      </c>
      <c r="J56" s="86">
        <f t="shared" si="7"/>
        <v>0</v>
      </c>
      <c r="K56" s="38"/>
      <c r="M56" s="37"/>
      <c r="N56" s="165"/>
      <c r="O56" s="165"/>
      <c r="P56" s="165"/>
      <c r="Q56" s="37"/>
    </row>
    <row r="57" spans="2:17">
      <c r="B57" s="168" t="s">
        <v>138</v>
      </c>
      <c r="C57" s="169"/>
      <c r="D57" s="169"/>
      <c r="E57" s="170"/>
      <c r="F57" s="36">
        <v>3500</v>
      </c>
      <c r="G57" s="37"/>
      <c r="H57" s="37"/>
      <c r="I57" s="45">
        <f t="shared" si="6"/>
        <v>0</v>
      </c>
      <c r="J57" s="86">
        <f t="shared" si="7"/>
        <v>0</v>
      </c>
      <c r="K57" s="38"/>
      <c r="M57" s="37"/>
      <c r="N57" s="165"/>
      <c r="O57" s="165"/>
      <c r="P57" s="165"/>
      <c r="Q57" s="37"/>
    </row>
    <row r="58" spans="2:17">
      <c r="B58" s="168" t="s">
        <v>192</v>
      </c>
      <c r="C58" s="169"/>
      <c r="D58" s="169"/>
      <c r="E58" s="170"/>
      <c r="F58" s="36">
        <v>500</v>
      </c>
      <c r="G58" s="37"/>
      <c r="H58" s="37"/>
      <c r="I58" s="45">
        <f t="shared" si="6"/>
        <v>0</v>
      </c>
      <c r="J58" s="86">
        <f t="shared" si="7"/>
        <v>0</v>
      </c>
      <c r="K58" s="38"/>
      <c r="M58" s="37"/>
      <c r="N58" s="165"/>
      <c r="O58" s="165"/>
      <c r="P58" s="165"/>
      <c r="Q58" s="37"/>
    </row>
    <row r="59" spans="2:17">
      <c r="B59" s="168" t="s">
        <v>191</v>
      </c>
      <c r="C59" s="169"/>
      <c r="D59" s="169"/>
      <c r="E59" s="170"/>
      <c r="F59" s="36">
        <v>400</v>
      </c>
      <c r="G59" s="37"/>
      <c r="H59" s="37"/>
      <c r="I59" s="45">
        <f t="shared" si="6"/>
        <v>0</v>
      </c>
      <c r="J59" s="86">
        <f t="shared" si="7"/>
        <v>0</v>
      </c>
      <c r="K59" s="38"/>
      <c r="M59" s="37"/>
      <c r="N59" s="165"/>
      <c r="O59" s="165"/>
      <c r="P59" s="165"/>
      <c r="Q59" s="37"/>
    </row>
    <row r="60" spans="2:17">
      <c r="B60" s="168" t="s">
        <v>100</v>
      </c>
      <c r="C60" s="169"/>
      <c r="D60" s="169"/>
      <c r="E60" s="170"/>
      <c r="F60" s="36">
        <v>400</v>
      </c>
      <c r="G60" s="37"/>
      <c r="H60" s="37"/>
      <c r="I60" s="45">
        <f t="shared" si="6"/>
        <v>0</v>
      </c>
      <c r="J60" s="86">
        <f t="shared" si="7"/>
        <v>0</v>
      </c>
      <c r="K60" s="38"/>
      <c r="M60" s="37"/>
      <c r="N60" s="165"/>
      <c r="O60" s="165"/>
      <c r="P60" s="165"/>
      <c r="Q60" s="37"/>
    </row>
    <row r="61" spans="2:17">
      <c r="B61" s="168" t="s">
        <v>189</v>
      </c>
      <c r="C61" s="169"/>
      <c r="D61" s="169"/>
      <c r="E61" s="170"/>
      <c r="F61" s="36">
        <v>600</v>
      </c>
      <c r="G61" s="37"/>
      <c r="H61" s="37"/>
      <c r="I61" s="45">
        <f t="shared" ref="I61:I62" si="8">F61*G61*H61</f>
        <v>0</v>
      </c>
      <c r="J61" s="86">
        <f t="shared" si="7"/>
        <v>0</v>
      </c>
      <c r="K61" s="38"/>
      <c r="M61" s="37"/>
      <c r="N61" s="165"/>
      <c r="O61" s="165"/>
      <c r="P61" s="165"/>
      <c r="Q61" s="37"/>
    </row>
    <row r="62" spans="2:17">
      <c r="B62" s="168" t="s">
        <v>190</v>
      </c>
      <c r="C62" s="169"/>
      <c r="D62" s="169"/>
      <c r="E62" s="170"/>
      <c r="F62" s="36">
        <v>700</v>
      </c>
      <c r="G62" s="37"/>
      <c r="H62" s="37"/>
      <c r="I62" s="45">
        <f t="shared" si="8"/>
        <v>0</v>
      </c>
      <c r="J62" s="86">
        <f t="shared" si="7"/>
        <v>0</v>
      </c>
      <c r="K62" s="38"/>
      <c r="M62" s="37"/>
      <c r="N62" s="165"/>
      <c r="O62" s="165"/>
      <c r="P62" s="165"/>
      <c r="Q62" s="37"/>
    </row>
    <row r="63" spans="2:17">
      <c r="B63" s="173" t="s">
        <v>193</v>
      </c>
      <c r="C63" s="174"/>
      <c r="D63" s="174"/>
      <c r="E63" s="175"/>
      <c r="F63" s="36">
        <v>300</v>
      </c>
      <c r="G63" s="37"/>
      <c r="H63" s="37"/>
      <c r="I63" s="45">
        <f t="shared" si="6"/>
        <v>0</v>
      </c>
      <c r="J63" s="86">
        <f t="shared" si="7"/>
        <v>0</v>
      </c>
      <c r="K63" s="38"/>
      <c r="M63" s="37"/>
      <c r="N63" s="165"/>
      <c r="O63" s="165"/>
      <c r="P63" s="165"/>
      <c r="Q63" s="37"/>
    </row>
    <row r="64" spans="2:17">
      <c r="B64" s="168" t="s">
        <v>105</v>
      </c>
      <c r="C64" s="169"/>
      <c r="D64" s="169"/>
      <c r="E64" s="170"/>
      <c r="F64" s="36">
        <v>500</v>
      </c>
      <c r="G64" s="37"/>
      <c r="H64" s="37"/>
      <c r="I64" s="45">
        <f t="shared" si="6"/>
        <v>0</v>
      </c>
      <c r="J64" s="86">
        <f t="shared" si="7"/>
        <v>0</v>
      </c>
      <c r="K64" s="38"/>
      <c r="M64" s="37"/>
      <c r="N64" s="165"/>
      <c r="O64" s="165"/>
      <c r="P64" s="165"/>
      <c r="Q64" s="37"/>
    </row>
    <row r="65" spans="2:17">
      <c r="B65" s="168" t="s">
        <v>101</v>
      </c>
      <c r="C65" s="169"/>
      <c r="D65" s="169"/>
      <c r="E65" s="170"/>
      <c r="F65" s="36">
        <v>500</v>
      </c>
      <c r="G65" s="37"/>
      <c r="H65" s="37"/>
      <c r="I65" s="45">
        <f t="shared" si="6"/>
        <v>0</v>
      </c>
      <c r="J65" s="86">
        <f t="shared" si="7"/>
        <v>0</v>
      </c>
      <c r="K65" s="38"/>
      <c r="M65" s="37"/>
      <c r="N65" s="165"/>
      <c r="O65" s="165"/>
      <c r="P65" s="165"/>
      <c r="Q65" s="37"/>
    </row>
    <row r="66" spans="2:17">
      <c r="B66" s="168" t="s">
        <v>102</v>
      </c>
      <c r="C66" s="169"/>
      <c r="D66" s="169"/>
      <c r="E66" s="170"/>
      <c r="F66" s="36">
        <v>500</v>
      </c>
      <c r="G66" s="37"/>
      <c r="H66" s="37"/>
      <c r="I66" s="45">
        <f t="shared" si="6"/>
        <v>0</v>
      </c>
      <c r="J66" s="86">
        <f t="shared" si="7"/>
        <v>0</v>
      </c>
      <c r="K66" s="38"/>
      <c r="M66" s="37"/>
      <c r="N66" s="165"/>
      <c r="O66" s="165"/>
      <c r="P66" s="165"/>
      <c r="Q66" s="37"/>
    </row>
    <row r="67" spans="2:17">
      <c r="B67" s="168" t="s">
        <v>103</v>
      </c>
      <c r="C67" s="169"/>
      <c r="D67" s="169"/>
      <c r="E67" s="170"/>
      <c r="F67" s="36">
        <v>450</v>
      </c>
      <c r="G67" s="37"/>
      <c r="H67" s="37"/>
      <c r="I67" s="45">
        <f t="shared" si="6"/>
        <v>0</v>
      </c>
      <c r="J67" s="86">
        <f t="shared" si="7"/>
        <v>0</v>
      </c>
      <c r="K67" s="38"/>
      <c r="M67" s="37"/>
      <c r="N67" s="165"/>
      <c r="O67" s="165"/>
      <c r="P67" s="165"/>
      <c r="Q67" s="37"/>
    </row>
    <row r="68" spans="2:17">
      <c r="B68" s="168" t="s">
        <v>104</v>
      </c>
      <c r="C68" s="169"/>
      <c r="D68" s="169"/>
      <c r="E68" s="170"/>
      <c r="F68" s="36">
        <v>400</v>
      </c>
      <c r="G68" s="37"/>
      <c r="H68" s="37"/>
      <c r="I68" s="45">
        <f t="shared" si="6"/>
        <v>0</v>
      </c>
      <c r="J68" s="86">
        <f t="shared" si="7"/>
        <v>0</v>
      </c>
      <c r="K68" s="38"/>
      <c r="M68" s="37"/>
      <c r="N68" s="165"/>
      <c r="O68" s="165"/>
      <c r="P68" s="165"/>
      <c r="Q68" s="37"/>
    </row>
    <row r="69" spans="2:17">
      <c r="B69" s="168" t="s">
        <v>139</v>
      </c>
      <c r="C69" s="169"/>
      <c r="D69" s="169"/>
      <c r="E69" s="170"/>
      <c r="F69" s="36">
        <v>1100</v>
      </c>
      <c r="G69" s="37"/>
      <c r="H69" s="37"/>
      <c r="I69" s="45">
        <f t="shared" si="6"/>
        <v>0</v>
      </c>
      <c r="J69" s="86">
        <f t="shared" si="7"/>
        <v>0</v>
      </c>
      <c r="K69" s="38"/>
      <c r="M69" s="37"/>
      <c r="N69" s="165"/>
      <c r="O69" s="165"/>
      <c r="P69" s="165"/>
      <c r="Q69" s="37"/>
    </row>
    <row r="70" spans="2:17">
      <c r="B70" s="168" t="s">
        <v>110</v>
      </c>
      <c r="C70" s="169"/>
      <c r="D70" s="169"/>
      <c r="E70" s="170"/>
      <c r="F70" s="36">
        <v>500</v>
      </c>
      <c r="G70" s="37"/>
      <c r="H70" s="37"/>
      <c r="I70" s="45">
        <f t="shared" ref="I70" si="9">F70*G70*H70</f>
        <v>0</v>
      </c>
      <c r="J70" s="86">
        <f t="shared" si="7"/>
        <v>0</v>
      </c>
      <c r="K70" s="38"/>
      <c r="M70" s="37"/>
      <c r="N70" s="165"/>
      <c r="O70" s="165"/>
      <c r="P70" s="165"/>
      <c r="Q70" s="37"/>
    </row>
    <row r="71" spans="2:17">
      <c r="B71" s="168" t="s">
        <v>187</v>
      </c>
      <c r="C71" s="169"/>
      <c r="D71" s="169"/>
      <c r="E71" s="170"/>
      <c r="F71" s="36">
        <v>50</v>
      </c>
      <c r="G71" s="37"/>
      <c r="H71" s="37"/>
      <c r="I71" s="45">
        <f t="shared" si="6"/>
        <v>0</v>
      </c>
      <c r="J71" s="86">
        <f t="shared" si="7"/>
        <v>0</v>
      </c>
      <c r="K71" s="38"/>
      <c r="M71" s="37"/>
      <c r="N71" s="165"/>
      <c r="O71" s="165"/>
      <c r="P71" s="165"/>
      <c r="Q71" s="37"/>
    </row>
    <row r="72" spans="2:17">
      <c r="B72" s="168" t="s">
        <v>133</v>
      </c>
      <c r="C72" s="169"/>
      <c r="D72" s="169"/>
      <c r="E72" s="170"/>
      <c r="F72" s="36">
        <v>800</v>
      </c>
      <c r="G72" s="37"/>
      <c r="H72" s="37"/>
      <c r="I72" s="45">
        <f t="shared" si="6"/>
        <v>0</v>
      </c>
      <c r="J72" s="86">
        <f t="shared" si="7"/>
        <v>0</v>
      </c>
      <c r="K72" s="38"/>
      <c r="M72" s="37"/>
      <c r="N72" s="165"/>
      <c r="O72" s="165"/>
      <c r="P72" s="165"/>
      <c r="Q72" s="37"/>
    </row>
    <row r="73" spans="2:17">
      <c r="B73" s="168" t="s">
        <v>134</v>
      </c>
      <c r="C73" s="169"/>
      <c r="D73" s="169"/>
      <c r="E73" s="170"/>
      <c r="F73" s="36">
        <v>700</v>
      </c>
      <c r="G73" s="37"/>
      <c r="H73" s="37"/>
      <c r="I73" s="45">
        <f t="shared" si="6"/>
        <v>0</v>
      </c>
      <c r="J73" s="86">
        <f t="shared" si="7"/>
        <v>0</v>
      </c>
      <c r="K73" s="38"/>
      <c r="M73" s="37"/>
      <c r="N73" s="165"/>
      <c r="O73" s="165"/>
      <c r="P73" s="165"/>
      <c r="Q73" s="37"/>
    </row>
    <row r="74" spans="2:17">
      <c r="B74" s="168" t="s">
        <v>144</v>
      </c>
      <c r="C74" s="169"/>
      <c r="D74" s="169"/>
      <c r="E74" s="170"/>
      <c r="F74" s="36">
        <v>230</v>
      </c>
      <c r="G74" s="37"/>
      <c r="H74" s="37"/>
      <c r="I74" s="45">
        <f t="shared" si="6"/>
        <v>0</v>
      </c>
      <c r="J74" s="86">
        <f t="shared" si="7"/>
        <v>0</v>
      </c>
      <c r="K74" s="38"/>
      <c r="M74" s="37"/>
      <c r="N74" s="165"/>
      <c r="O74" s="165"/>
      <c r="P74" s="165"/>
      <c r="Q74" s="37"/>
    </row>
    <row r="75" spans="2:17">
      <c r="B75" s="168" t="s">
        <v>140</v>
      </c>
      <c r="C75" s="169"/>
      <c r="D75" s="169"/>
      <c r="E75" s="170"/>
      <c r="F75" s="36">
        <v>230</v>
      </c>
      <c r="G75" s="37"/>
      <c r="H75" s="37"/>
      <c r="I75" s="45">
        <f t="shared" si="6"/>
        <v>0</v>
      </c>
      <c r="J75" s="86">
        <f t="shared" si="7"/>
        <v>0</v>
      </c>
      <c r="K75" s="38"/>
      <c r="M75" s="37"/>
      <c r="N75" s="165"/>
      <c r="O75" s="165"/>
      <c r="P75" s="165"/>
      <c r="Q75" s="37"/>
    </row>
    <row r="76" spans="2:17">
      <c r="B76" s="168" t="s">
        <v>141</v>
      </c>
      <c r="C76" s="169"/>
      <c r="D76" s="169"/>
      <c r="E76" s="170"/>
      <c r="F76" s="36">
        <v>200</v>
      </c>
      <c r="G76" s="37"/>
      <c r="H76" s="37"/>
      <c r="I76" s="45">
        <f t="shared" si="6"/>
        <v>0</v>
      </c>
      <c r="J76" s="86">
        <f t="shared" si="7"/>
        <v>0</v>
      </c>
      <c r="K76" s="38"/>
      <c r="M76" s="37"/>
      <c r="N76" s="165"/>
      <c r="O76" s="165"/>
      <c r="P76" s="165"/>
      <c r="Q76" s="37"/>
    </row>
    <row r="77" spans="2:17">
      <c r="B77" s="168" t="s">
        <v>142</v>
      </c>
      <c r="C77" s="169"/>
      <c r="D77" s="169"/>
      <c r="E77" s="170"/>
      <c r="F77" s="36">
        <v>200</v>
      </c>
      <c r="G77" s="37"/>
      <c r="H77" s="37"/>
      <c r="I77" s="45">
        <f t="shared" si="6"/>
        <v>0</v>
      </c>
      <c r="J77" s="86">
        <f t="shared" si="7"/>
        <v>0</v>
      </c>
      <c r="K77" s="38"/>
      <c r="M77" s="37"/>
      <c r="N77" s="165"/>
      <c r="O77" s="165"/>
      <c r="P77" s="165"/>
      <c r="Q77" s="37"/>
    </row>
    <row r="78" spans="2:17">
      <c r="B78" s="168" t="s">
        <v>143</v>
      </c>
      <c r="C78" s="169"/>
      <c r="D78" s="169"/>
      <c r="E78" s="170"/>
      <c r="F78" s="36">
        <v>200</v>
      </c>
      <c r="G78" s="37"/>
      <c r="H78" s="37"/>
      <c r="I78" s="45">
        <f t="shared" si="6"/>
        <v>0</v>
      </c>
      <c r="J78" s="86">
        <f t="shared" si="7"/>
        <v>0</v>
      </c>
      <c r="K78" s="38"/>
      <c r="M78" s="37"/>
      <c r="N78" s="165"/>
      <c r="O78" s="165"/>
      <c r="P78" s="165"/>
      <c r="Q78" s="37"/>
    </row>
    <row r="79" spans="2:17">
      <c r="B79" s="168" t="s">
        <v>145</v>
      </c>
      <c r="C79" s="169"/>
      <c r="D79" s="169"/>
      <c r="E79" s="170"/>
      <c r="F79" s="36">
        <v>1000</v>
      </c>
      <c r="G79" s="37"/>
      <c r="H79" s="37"/>
      <c r="I79" s="45">
        <f t="shared" si="6"/>
        <v>0</v>
      </c>
      <c r="J79" s="86">
        <f t="shared" si="7"/>
        <v>0</v>
      </c>
      <c r="K79" s="38"/>
      <c r="M79" s="37"/>
      <c r="N79" s="165"/>
      <c r="O79" s="165"/>
      <c r="P79" s="165"/>
      <c r="Q79" s="37"/>
    </row>
    <row r="80" spans="2:17">
      <c r="B80" s="168" t="s">
        <v>146</v>
      </c>
      <c r="C80" s="169"/>
      <c r="D80" s="169"/>
      <c r="E80" s="170"/>
      <c r="F80" s="36">
        <v>400</v>
      </c>
      <c r="G80" s="37"/>
      <c r="H80" s="37"/>
      <c r="I80" s="45">
        <f t="shared" si="6"/>
        <v>0</v>
      </c>
      <c r="J80" s="86">
        <f t="shared" si="7"/>
        <v>0</v>
      </c>
      <c r="K80" s="38"/>
      <c r="M80" s="37"/>
      <c r="N80" s="165"/>
      <c r="O80" s="165"/>
      <c r="P80" s="165"/>
      <c r="Q80" s="37"/>
    </row>
    <row r="81" spans="2:17">
      <c r="B81" s="168" t="s">
        <v>88</v>
      </c>
      <c r="C81" s="169"/>
      <c r="D81" s="169"/>
      <c r="E81" s="170"/>
      <c r="F81" s="36">
        <v>600</v>
      </c>
      <c r="G81" s="37"/>
      <c r="H81" s="37"/>
      <c r="I81" s="45">
        <f t="shared" si="6"/>
        <v>0</v>
      </c>
      <c r="J81" s="86">
        <f t="shared" si="7"/>
        <v>0</v>
      </c>
      <c r="K81" s="38"/>
      <c r="M81" s="37"/>
      <c r="N81" s="165"/>
      <c r="O81" s="165"/>
      <c r="P81" s="165"/>
      <c r="Q81" s="37"/>
    </row>
    <row r="82" spans="2:17">
      <c r="B82" s="168" t="s">
        <v>89</v>
      </c>
      <c r="C82" s="169"/>
      <c r="D82" s="169"/>
      <c r="E82" s="170"/>
      <c r="F82" s="36"/>
      <c r="G82" s="37"/>
      <c r="H82" s="37"/>
      <c r="I82" s="45">
        <f t="shared" si="6"/>
        <v>0</v>
      </c>
      <c r="J82" s="86">
        <f t="shared" si="7"/>
        <v>0</v>
      </c>
      <c r="K82" s="38"/>
      <c r="M82" s="37"/>
      <c r="N82" s="165"/>
      <c r="O82" s="165"/>
      <c r="P82" s="165"/>
      <c r="Q82" s="37"/>
    </row>
    <row r="83" spans="2:17">
      <c r="B83" s="168" t="s">
        <v>117</v>
      </c>
      <c r="C83" s="169"/>
      <c r="D83" s="169"/>
      <c r="E83" s="170"/>
      <c r="F83" s="36">
        <v>250</v>
      </c>
      <c r="G83" s="37">
        <v>0</v>
      </c>
      <c r="H83" s="37">
        <v>1</v>
      </c>
      <c r="I83" s="45">
        <f t="shared" si="6"/>
        <v>0</v>
      </c>
      <c r="J83" s="86">
        <f t="shared" si="7"/>
        <v>0</v>
      </c>
      <c r="K83" s="38"/>
      <c r="M83" s="37"/>
      <c r="N83" s="165"/>
      <c r="O83" s="165"/>
      <c r="P83" s="165"/>
      <c r="Q83" s="37"/>
    </row>
    <row r="84" spans="2:17" ht="19" thickBot="1">
      <c r="B84" s="164"/>
      <c r="C84" s="165"/>
      <c r="D84" s="165"/>
      <c r="E84" s="165"/>
      <c r="F84" s="36"/>
      <c r="G84" s="37"/>
      <c r="H84" s="37"/>
      <c r="I84" s="45">
        <f t="shared" si="6"/>
        <v>0</v>
      </c>
      <c r="J84" s="86">
        <f t="shared" si="7"/>
        <v>0</v>
      </c>
      <c r="K84" s="41"/>
      <c r="M84" s="37"/>
      <c r="N84" s="165"/>
      <c r="O84" s="165"/>
      <c r="P84" s="165"/>
      <c r="Q84" s="37"/>
    </row>
    <row r="85" spans="2:17" ht="19" thickBot="1">
      <c r="B85" s="164"/>
      <c r="C85" s="165"/>
      <c r="D85" s="165"/>
      <c r="E85" s="165"/>
      <c r="F85" s="36"/>
      <c r="G85" s="37"/>
      <c r="H85" s="37"/>
      <c r="I85" s="45"/>
      <c r="J85" s="46"/>
      <c r="K85" s="47">
        <f>SUM(I47:I84)</f>
        <v>0</v>
      </c>
      <c r="M85" s="37"/>
      <c r="N85" s="165"/>
      <c r="O85" s="165"/>
      <c r="P85" s="165"/>
      <c r="Q85" s="37"/>
    </row>
    <row r="86" spans="2:17" ht="20">
      <c r="B86" s="171" t="s">
        <v>112</v>
      </c>
      <c r="C86" s="172"/>
      <c r="D86" s="172"/>
      <c r="E86" s="172"/>
      <c r="F86" s="62"/>
      <c r="G86" s="63"/>
      <c r="H86" s="63"/>
      <c r="I86" s="64"/>
      <c r="J86" s="65"/>
      <c r="K86" s="66"/>
      <c r="M86" s="37"/>
      <c r="N86" s="165"/>
      <c r="O86" s="165"/>
      <c r="P86" s="165"/>
      <c r="Q86" s="37"/>
    </row>
    <row r="87" spans="2:17">
      <c r="B87" s="164" t="s">
        <v>115</v>
      </c>
      <c r="C87" s="165"/>
      <c r="D87" s="165"/>
      <c r="E87" s="165"/>
      <c r="F87" s="36">
        <v>150</v>
      </c>
      <c r="G87" s="37">
        <v>0</v>
      </c>
      <c r="H87" s="37">
        <v>1</v>
      </c>
      <c r="I87" s="45">
        <f t="shared" si="6"/>
        <v>0</v>
      </c>
      <c r="J87" s="86">
        <f t="shared" ref="J87:J93" si="10">I87*$I$138</f>
        <v>0</v>
      </c>
      <c r="K87" s="38"/>
      <c r="M87" s="37"/>
      <c r="N87" s="165"/>
      <c r="O87" s="165"/>
      <c r="P87" s="165"/>
      <c r="Q87" s="37"/>
    </row>
    <row r="88" spans="2:17">
      <c r="B88" s="164" t="s">
        <v>116</v>
      </c>
      <c r="C88" s="165"/>
      <c r="D88" s="165"/>
      <c r="E88" s="165"/>
      <c r="F88" s="36">
        <v>350</v>
      </c>
      <c r="G88" s="37"/>
      <c r="H88" s="37"/>
      <c r="I88" s="45">
        <f t="shared" si="6"/>
        <v>0</v>
      </c>
      <c r="J88" s="86">
        <f t="shared" si="10"/>
        <v>0</v>
      </c>
      <c r="K88" s="38"/>
      <c r="M88" s="37"/>
      <c r="N88" s="165"/>
      <c r="O88" s="165"/>
      <c r="P88" s="165"/>
      <c r="Q88" s="37"/>
    </row>
    <row r="89" spans="2:17">
      <c r="B89" s="164" t="s">
        <v>113</v>
      </c>
      <c r="C89" s="165"/>
      <c r="D89" s="165"/>
      <c r="E89" s="165"/>
      <c r="F89" s="36">
        <v>150</v>
      </c>
      <c r="G89" s="37"/>
      <c r="H89" s="37"/>
      <c r="I89" s="45">
        <f t="shared" si="6"/>
        <v>0</v>
      </c>
      <c r="J89" s="86">
        <f t="shared" si="10"/>
        <v>0</v>
      </c>
      <c r="K89" s="38"/>
      <c r="M89" s="37"/>
      <c r="N89" s="165"/>
      <c r="O89" s="165"/>
      <c r="P89" s="165"/>
      <c r="Q89" s="37"/>
    </row>
    <row r="90" spans="2:17">
      <c r="B90" s="164" t="s">
        <v>114</v>
      </c>
      <c r="C90" s="165"/>
      <c r="D90" s="165"/>
      <c r="E90" s="165"/>
      <c r="F90" s="36">
        <v>350</v>
      </c>
      <c r="G90" s="37"/>
      <c r="H90" s="37"/>
      <c r="I90" s="45">
        <f t="shared" si="6"/>
        <v>0</v>
      </c>
      <c r="J90" s="86">
        <f t="shared" si="10"/>
        <v>0</v>
      </c>
      <c r="K90" s="38"/>
      <c r="M90" s="37"/>
      <c r="N90" s="165"/>
      <c r="O90" s="165"/>
      <c r="P90" s="165"/>
      <c r="Q90" s="37"/>
    </row>
    <row r="91" spans="2:17">
      <c r="B91" s="164" t="s">
        <v>118</v>
      </c>
      <c r="C91" s="165"/>
      <c r="D91" s="165"/>
      <c r="E91" s="165"/>
      <c r="F91" s="36">
        <v>100</v>
      </c>
      <c r="G91" s="37"/>
      <c r="H91" s="37"/>
      <c r="I91" s="45">
        <f t="shared" si="6"/>
        <v>0</v>
      </c>
      <c r="J91" s="86">
        <f t="shared" si="10"/>
        <v>0</v>
      </c>
      <c r="K91" s="38"/>
      <c r="M91" s="37"/>
      <c r="N91" s="165"/>
      <c r="O91" s="165"/>
      <c r="P91" s="165"/>
      <c r="Q91" s="37"/>
    </row>
    <row r="92" spans="2:17">
      <c r="B92" s="164" t="s">
        <v>119</v>
      </c>
      <c r="C92" s="165"/>
      <c r="D92" s="165"/>
      <c r="E92" s="165"/>
      <c r="F92" s="36"/>
      <c r="G92" s="37"/>
      <c r="H92" s="37"/>
      <c r="I92" s="45">
        <f t="shared" si="6"/>
        <v>0</v>
      </c>
      <c r="J92" s="86">
        <f t="shared" si="10"/>
        <v>0</v>
      </c>
      <c r="K92" s="38"/>
      <c r="M92" s="37"/>
      <c r="N92" s="165"/>
      <c r="O92" s="165"/>
      <c r="P92" s="165"/>
      <c r="Q92" s="37"/>
    </row>
    <row r="93" spans="2:17" ht="19" thickBot="1">
      <c r="B93" s="164"/>
      <c r="C93" s="165"/>
      <c r="D93" s="165"/>
      <c r="E93" s="165"/>
      <c r="F93" s="36"/>
      <c r="G93" s="37"/>
      <c r="H93" s="37"/>
      <c r="I93" s="45">
        <f t="shared" si="6"/>
        <v>0</v>
      </c>
      <c r="J93" s="86">
        <f t="shared" si="10"/>
        <v>0</v>
      </c>
      <c r="K93" s="41"/>
      <c r="M93" s="37"/>
      <c r="N93" s="165"/>
      <c r="O93" s="165"/>
      <c r="P93" s="165"/>
      <c r="Q93" s="37"/>
    </row>
    <row r="94" spans="2:17" ht="19" thickBot="1">
      <c r="B94" s="164"/>
      <c r="C94" s="165"/>
      <c r="D94" s="165"/>
      <c r="E94" s="165"/>
      <c r="F94" s="36"/>
      <c r="G94" s="37"/>
      <c r="H94" s="37"/>
      <c r="I94" s="45"/>
      <c r="J94" s="46"/>
      <c r="K94" s="47">
        <f>SUM(I86:I93)</f>
        <v>0</v>
      </c>
      <c r="M94" s="37"/>
      <c r="N94" s="165"/>
      <c r="O94" s="165"/>
      <c r="P94" s="165"/>
      <c r="Q94" s="37"/>
    </row>
    <row r="95" spans="2:17" ht="20">
      <c r="B95" s="171" t="s">
        <v>183</v>
      </c>
      <c r="C95" s="172"/>
      <c r="D95" s="172"/>
      <c r="E95" s="172"/>
      <c r="F95" s="62"/>
      <c r="G95" s="63"/>
      <c r="H95" s="63"/>
      <c r="I95" s="64"/>
      <c r="J95" s="65"/>
      <c r="K95" s="66"/>
      <c r="M95" s="37"/>
      <c r="N95" s="165"/>
      <c r="O95" s="165"/>
      <c r="P95" s="165"/>
      <c r="Q95" s="37"/>
    </row>
    <row r="96" spans="2:17">
      <c r="B96" s="164" t="s">
        <v>120</v>
      </c>
      <c r="C96" s="165"/>
      <c r="D96" s="165"/>
      <c r="E96" s="165"/>
      <c r="F96" s="36">
        <v>1200</v>
      </c>
      <c r="G96" s="37"/>
      <c r="H96" s="37"/>
      <c r="I96" s="45">
        <f t="shared" si="6"/>
        <v>0</v>
      </c>
      <c r="J96" s="86">
        <f t="shared" ref="J96:J106" si="11">I96*$I$138</f>
        <v>0</v>
      </c>
      <c r="K96" s="38"/>
      <c r="M96" s="37"/>
      <c r="N96" s="165"/>
      <c r="O96" s="165"/>
      <c r="P96" s="165"/>
      <c r="Q96" s="37"/>
    </row>
    <row r="97" spans="2:17">
      <c r="B97" s="164" t="s">
        <v>26</v>
      </c>
      <c r="C97" s="165"/>
      <c r="D97" s="165"/>
      <c r="E97" s="165"/>
      <c r="F97" s="36"/>
      <c r="G97" s="37"/>
      <c r="H97" s="37"/>
      <c r="I97" s="45">
        <f t="shared" si="6"/>
        <v>0</v>
      </c>
      <c r="J97" s="86">
        <f t="shared" si="11"/>
        <v>0</v>
      </c>
      <c r="K97" s="38"/>
      <c r="M97" s="37"/>
      <c r="N97" s="165"/>
      <c r="O97" s="165"/>
      <c r="P97" s="165"/>
      <c r="Q97" s="37"/>
    </row>
    <row r="98" spans="2:17">
      <c r="B98" s="164" t="s">
        <v>27</v>
      </c>
      <c r="C98" s="165"/>
      <c r="D98" s="165"/>
      <c r="E98" s="165"/>
      <c r="F98" s="36">
        <v>100</v>
      </c>
      <c r="G98" s="37"/>
      <c r="H98" s="37"/>
      <c r="I98" s="45">
        <f t="shared" si="6"/>
        <v>0</v>
      </c>
      <c r="J98" s="86">
        <f t="shared" si="11"/>
        <v>0</v>
      </c>
      <c r="K98" s="38"/>
      <c r="M98" s="37"/>
      <c r="N98" s="165"/>
      <c r="O98" s="165"/>
      <c r="P98" s="165"/>
      <c r="Q98" s="37"/>
    </row>
    <row r="99" spans="2:17">
      <c r="B99" s="164" t="s">
        <v>28</v>
      </c>
      <c r="C99" s="165"/>
      <c r="D99" s="165"/>
      <c r="E99" s="165"/>
      <c r="F99" s="36">
        <v>100</v>
      </c>
      <c r="G99" s="37"/>
      <c r="H99" s="37"/>
      <c r="I99" s="45">
        <f t="shared" si="6"/>
        <v>0</v>
      </c>
      <c r="J99" s="86">
        <f t="shared" si="11"/>
        <v>0</v>
      </c>
      <c r="K99" s="38"/>
      <c r="M99" s="37"/>
      <c r="N99" s="165"/>
      <c r="O99" s="165"/>
      <c r="P99" s="165"/>
      <c r="Q99" s="37"/>
    </row>
    <row r="100" spans="2:17">
      <c r="B100" s="164" t="s">
        <v>121</v>
      </c>
      <c r="C100" s="165"/>
      <c r="D100" s="165"/>
      <c r="E100" s="165"/>
      <c r="F100" s="36">
        <v>60</v>
      </c>
      <c r="G100" s="37"/>
      <c r="H100" s="37"/>
      <c r="I100" s="45">
        <f t="shared" si="6"/>
        <v>0</v>
      </c>
      <c r="J100" s="86">
        <f t="shared" si="11"/>
        <v>0</v>
      </c>
      <c r="K100" s="38"/>
      <c r="M100" s="37"/>
      <c r="N100" s="165"/>
      <c r="O100" s="165"/>
      <c r="P100" s="165"/>
      <c r="Q100" s="37"/>
    </row>
    <row r="101" spans="2:17">
      <c r="B101" s="164" t="s">
        <v>122</v>
      </c>
      <c r="C101" s="165"/>
      <c r="D101" s="165"/>
      <c r="E101" s="165"/>
      <c r="F101" s="36">
        <v>100</v>
      </c>
      <c r="G101" s="37"/>
      <c r="H101" s="37"/>
      <c r="I101" s="45">
        <f t="shared" si="6"/>
        <v>0</v>
      </c>
      <c r="J101" s="86">
        <f t="shared" si="11"/>
        <v>0</v>
      </c>
      <c r="K101" s="38"/>
      <c r="M101" s="37"/>
      <c r="N101" s="165"/>
      <c r="O101" s="165"/>
      <c r="P101" s="165"/>
      <c r="Q101" s="37"/>
    </row>
    <row r="102" spans="2:17">
      <c r="B102" s="164" t="s">
        <v>123</v>
      </c>
      <c r="C102" s="165"/>
      <c r="D102" s="165"/>
      <c r="E102" s="165"/>
      <c r="F102" s="36">
        <v>30</v>
      </c>
      <c r="G102" s="37"/>
      <c r="H102" s="37"/>
      <c r="I102" s="45">
        <f t="shared" ref="I102:I124" si="12">F102*G102*H102</f>
        <v>0</v>
      </c>
      <c r="J102" s="86">
        <f t="shared" si="11"/>
        <v>0</v>
      </c>
      <c r="K102" s="38"/>
      <c r="M102" s="37"/>
      <c r="N102" s="165"/>
      <c r="O102" s="165"/>
      <c r="P102" s="165"/>
      <c r="Q102" s="37"/>
    </row>
    <row r="103" spans="2:17">
      <c r="B103" s="164" t="s">
        <v>182</v>
      </c>
      <c r="C103" s="165"/>
      <c r="D103" s="165"/>
      <c r="E103" s="165"/>
      <c r="F103" s="36"/>
      <c r="G103" s="37"/>
      <c r="H103" s="37"/>
      <c r="I103" s="45">
        <f t="shared" si="12"/>
        <v>0</v>
      </c>
      <c r="J103" s="86">
        <f t="shared" si="11"/>
        <v>0</v>
      </c>
      <c r="K103" s="38"/>
      <c r="M103" s="37"/>
      <c r="N103" s="165"/>
      <c r="O103" s="165"/>
      <c r="P103" s="165"/>
      <c r="Q103" s="37"/>
    </row>
    <row r="104" spans="2:17">
      <c r="B104" s="164" t="s">
        <v>124</v>
      </c>
      <c r="C104" s="165"/>
      <c r="D104" s="165"/>
      <c r="E104" s="165"/>
      <c r="F104" s="36"/>
      <c r="G104" s="37"/>
      <c r="H104" s="37"/>
      <c r="I104" s="45">
        <f t="shared" si="12"/>
        <v>0</v>
      </c>
      <c r="J104" s="86">
        <f t="shared" si="11"/>
        <v>0</v>
      </c>
      <c r="K104" s="38"/>
      <c r="M104" s="37"/>
      <c r="N104" s="165"/>
      <c r="O104" s="165"/>
      <c r="P104" s="165"/>
      <c r="Q104" s="37"/>
    </row>
    <row r="105" spans="2:17">
      <c r="B105" s="164" t="s">
        <v>125</v>
      </c>
      <c r="C105" s="165"/>
      <c r="D105" s="165"/>
      <c r="E105" s="165"/>
      <c r="F105" s="36">
        <v>60</v>
      </c>
      <c r="G105" s="37"/>
      <c r="H105" s="37"/>
      <c r="I105" s="45">
        <f t="shared" si="12"/>
        <v>0</v>
      </c>
      <c r="J105" s="86">
        <f t="shared" si="11"/>
        <v>0</v>
      </c>
      <c r="K105" s="38"/>
      <c r="M105" s="37"/>
      <c r="N105" s="165"/>
      <c r="O105" s="165"/>
      <c r="P105" s="165"/>
      <c r="Q105" s="37"/>
    </row>
    <row r="106" spans="2:17" ht="19" thickBot="1">
      <c r="B106" s="164"/>
      <c r="C106" s="165"/>
      <c r="D106" s="165"/>
      <c r="E106" s="165"/>
      <c r="F106" s="36"/>
      <c r="G106" s="37"/>
      <c r="H106" s="37"/>
      <c r="I106" s="45">
        <f t="shared" si="12"/>
        <v>0</v>
      </c>
      <c r="J106" s="86">
        <f t="shared" si="11"/>
        <v>0</v>
      </c>
      <c r="K106" s="41"/>
      <c r="M106" s="37"/>
      <c r="N106" s="165"/>
      <c r="O106" s="165"/>
      <c r="P106" s="165"/>
      <c r="Q106" s="37"/>
    </row>
    <row r="107" spans="2:17" ht="19" thickBot="1">
      <c r="B107" s="164"/>
      <c r="C107" s="165"/>
      <c r="D107" s="165"/>
      <c r="E107" s="165"/>
      <c r="F107" s="36"/>
      <c r="G107" s="37"/>
      <c r="H107" s="37"/>
      <c r="I107" s="45"/>
      <c r="J107" s="46"/>
      <c r="K107" s="47">
        <f>SUM(I95:I106)</f>
        <v>0</v>
      </c>
      <c r="M107" s="37"/>
      <c r="N107" s="165"/>
      <c r="O107" s="165"/>
      <c r="P107" s="165"/>
      <c r="Q107" s="37"/>
    </row>
    <row r="108" spans="2:17" ht="20">
      <c r="B108" s="184" t="s">
        <v>126</v>
      </c>
      <c r="C108" s="185"/>
      <c r="D108" s="185"/>
      <c r="E108" s="185"/>
      <c r="F108" s="62"/>
      <c r="G108" s="63"/>
      <c r="H108" s="63"/>
      <c r="I108" s="64"/>
      <c r="J108" s="65"/>
      <c r="K108" s="66"/>
      <c r="M108" s="37"/>
      <c r="N108" s="165"/>
      <c r="O108" s="165"/>
      <c r="P108" s="165"/>
      <c r="Q108" s="37"/>
    </row>
    <row r="109" spans="2:17">
      <c r="B109" s="164" t="s">
        <v>132</v>
      </c>
      <c r="C109" s="165"/>
      <c r="D109" s="165"/>
      <c r="E109" s="165"/>
      <c r="F109" s="36"/>
      <c r="G109" s="37"/>
      <c r="H109" s="37"/>
      <c r="I109" s="45">
        <f t="shared" si="12"/>
        <v>0</v>
      </c>
      <c r="J109" s="86">
        <f t="shared" ref="J109:J112" si="13">I109*$I$138</f>
        <v>0</v>
      </c>
      <c r="K109" s="38"/>
      <c r="M109" s="37"/>
      <c r="N109" s="165"/>
      <c r="O109" s="165"/>
      <c r="P109" s="165"/>
      <c r="Q109" s="37"/>
    </row>
    <row r="110" spans="2:17">
      <c r="B110" s="164" t="s">
        <v>127</v>
      </c>
      <c r="C110" s="165"/>
      <c r="D110" s="165"/>
      <c r="E110" s="165"/>
      <c r="F110" s="36">
        <v>700</v>
      </c>
      <c r="G110" s="37"/>
      <c r="H110" s="37"/>
      <c r="I110" s="45">
        <f t="shared" si="12"/>
        <v>0</v>
      </c>
      <c r="J110" s="86">
        <f t="shared" si="13"/>
        <v>0</v>
      </c>
      <c r="K110" s="38"/>
      <c r="M110" s="37"/>
      <c r="N110" s="165"/>
      <c r="O110" s="165"/>
      <c r="P110" s="165"/>
      <c r="Q110" s="37"/>
    </row>
    <row r="111" spans="2:17">
      <c r="B111" s="164" t="s">
        <v>181</v>
      </c>
      <c r="C111" s="165"/>
      <c r="D111" s="165"/>
      <c r="E111" s="165"/>
      <c r="F111" s="36">
        <v>180</v>
      </c>
      <c r="G111" s="37">
        <v>0</v>
      </c>
      <c r="H111" s="37">
        <v>1</v>
      </c>
      <c r="I111" s="45">
        <f t="shared" si="12"/>
        <v>0</v>
      </c>
      <c r="J111" s="86">
        <f t="shared" si="13"/>
        <v>0</v>
      </c>
      <c r="K111" s="38"/>
      <c r="M111" s="37"/>
      <c r="N111" s="165"/>
      <c r="O111" s="165"/>
      <c r="P111" s="165"/>
      <c r="Q111" s="37"/>
    </row>
    <row r="112" spans="2:17" ht="19" thickBot="1">
      <c r="B112" s="164"/>
      <c r="C112" s="165"/>
      <c r="D112" s="165"/>
      <c r="E112" s="165"/>
      <c r="F112" s="36"/>
      <c r="G112" s="37"/>
      <c r="H112" s="37"/>
      <c r="I112" s="45">
        <f t="shared" si="12"/>
        <v>0</v>
      </c>
      <c r="J112" s="86">
        <f t="shared" si="13"/>
        <v>0</v>
      </c>
      <c r="K112" s="41"/>
      <c r="M112" s="37"/>
      <c r="N112" s="165"/>
      <c r="O112" s="165"/>
      <c r="P112" s="165"/>
      <c r="Q112" s="37"/>
    </row>
    <row r="113" spans="2:17" ht="19" thickBot="1">
      <c r="B113" s="164"/>
      <c r="C113" s="165"/>
      <c r="D113" s="165"/>
      <c r="E113" s="165"/>
      <c r="F113" s="36"/>
      <c r="G113" s="37"/>
      <c r="H113" s="37"/>
      <c r="I113" s="45"/>
      <c r="J113" s="46"/>
      <c r="K113" s="47">
        <f>SUM(I108:I112)</f>
        <v>0</v>
      </c>
      <c r="M113" s="37"/>
      <c r="N113" s="165"/>
      <c r="O113" s="165"/>
      <c r="P113" s="165"/>
      <c r="Q113" s="37"/>
    </row>
    <row r="114" spans="2:17" ht="20">
      <c r="B114" s="184" t="s">
        <v>128</v>
      </c>
      <c r="C114" s="185"/>
      <c r="D114" s="185"/>
      <c r="E114" s="185"/>
      <c r="F114" s="62"/>
      <c r="G114" s="63"/>
      <c r="H114" s="63"/>
      <c r="I114" s="64"/>
      <c r="J114" s="65"/>
      <c r="K114" s="66"/>
      <c r="M114" s="37"/>
      <c r="N114" s="165"/>
      <c r="O114" s="165"/>
      <c r="P114" s="165"/>
      <c r="Q114" s="37"/>
    </row>
    <row r="115" spans="2:17">
      <c r="B115" s="164" t="s">
        <v>129</v>
      </c>
      <c r="C115" s="165"/>
      <c r="D115" s="165"/>
      <c r="E115" s="165"/>
      <c r="F115" s="36">
        <v>300</v>
      </c>
      <c r="G115" s="37">
        <v>0</v>
      </c>
      <c r="H115" s="37">
        <v>0</v>
      </c>
      <c r="I115" s="45">
        <f t="shared" si="12"/>
        <v>0</v>
      </c>
      <c r="J115" s="86">
        <f t="shared" ref="J115:J124" si="14">I115*$I$138</f>
        <v>0</v>
      </c>
      <c r="K115" s="38"/>
      <c r="M115" s="37"/>
      <c r="N115" s="165"/>
      <c r="O115" s="165"/>
      <c r="P115" s="165"/>
      <c r="Q115" s="37"/>
    </row>
    <row r="116" spans="2:17">
      <c r="B116" s="164" t="s">
        <v>269</v>
      </c>
      <c r="C116" s="165"/>
      <c r="D116" s="165"/>
      <c r="E116" s="165"/>
      <c r="F116" s="36">
        <v>800</v>
      </c>
      <c r="G116" s="37">
        <v>0</v>
      </c>
      <c r="H116" s="37">
        <v>1</v>
      </c>
      <c r="I116" s="45">
        <f t="shared" si="12"/>
        <v>0</v>
      </c>
      <c r="J116" s="86">
        <f t="shared" si="14"/>
        <v>0</v>
      </c>
      <c r="K116" s="38"/>
      <c r="M116" s="37"/>
      <c r="N116" s="165"/>
      <c r="O116" s="165"/>
      <c r="P116" s="165"/>
      <c r="Q116" s="37"/>
    </row>
    <row r="117" spans="2:17">
      <c r="B117" s="164" t="s">
        <v>268</v>
      </c>
      <c r="C117" s="165"/>
      <c r="D117" s="165"/>
      <c r="E117" s="165"/>
      <c r="F117" s="36">
        <v>1000</v>
      </c>
      <c r="G117" s="37">
        <v>0</v>
      </c>
      <c r="H117" s="37">
        <v>1</v>
      </c>
      <c r="I117" s="45">
        <f t="shared" si="12"/>
        <v>0</v>
      </c>
      <c r="J117" s="86">
        <f t="shared" si="14"/>
        <v>0</v>
      </c>
      <c r="K117" s="38"/>
      <c r="M117" s="37"/>
      <c r="N117" s="165"/>
      <c r="O117" s="165"/>
      <c r="P117" s="165"/>
      <c r="Q117" s="37"/>
    </row>
    <row r="118" spans="2:17" hidden="1">
      <c r="B118" s="164" t="s">
        <v>186</v>
      </c>
      <c r="C118" s="165"/>
      <c r="D118" s="165"/>
      <c r="E118" s="165"/>
      <c r="F118" s="36">
        <v>3500</v>
      </c>
      <c r="G118" s="37"/>
      <c r="H118" s="37"/>
      <c r="I118" s="45">
        <f t="shared" si="12"/>
        <v>0</v>
      </c>
      <c r="J118" s="86">
        <f t="shared" si="14"/>
        <v>0</v>
      </c>
      <c r="K118" s="38"/>
      <c r="M118" s="37"/>
      <c r="N118" s="165"/>
      <c r="O118" s="165"/>
      <c r="P118" s="165"/>
      <c r="Q118" s="37"/>
    </row>
    <row r="119" spans="2:17">
      <c r="B119" s="164" t="s">
        <v>244</v>
      </c>
      <c r="C119" s="165"/>
      <c r="D119" s="165"/>
      <c r="E119" s="165"/>
      <c r="F119" s="36">
        <v>1000</v>
      </c>
      <c r="G119" s="37">
        <v>0</v>
      </c>
      <c r="H119" s="37">
        <v>0</v>
      </c>
      <c r="I119" s="45">
        <f t="shared" si="12"/>
        <v>0</v>
      </c>
      <c r="J119" s="86">
        <f t="shared" si="14"/>
        <v>0</v>
      </c>
      <c r="K119" s="38"/>
      <c r="M119" s="37"/>
      <c r="N119" s="165"/>
      <c r="O119" s="165"/>
      <c r="P119" s="165"/>
      <c r="Q119" s="37"/>
    </row>
    <row r="120" spans="2:17">
      <c r="B120" s="164" t="s">
        <v>275</v>
      </c>
      <c r="C120" s="165"/>
      <c r="D120" s="165"/>
      <c r="E120" s="165"/>
      <c r="F120" s="36">
        <f>200+200+180+150</f>
        <v>730</v>
      </c>
      <c r="G120" s="37">
        <v>0</v>
      </c>
      <c r="H120" s="37">
        <v>0</v>
      </c>
      <c r="I120" s="45">
        <f t="shared" si="12"/>
        <v>0</v>
      </c>
      <c r="J120" s="86">
        <f t="shared" si="14"/>
        <v>0</v>
      </c>
      <c r="K120" s="38"/>
      <c r="M120" s="37"/>
      <c r="N120" s="165"/>
      <c r="O120" s="165"/>
      <c r="P120" s="165"/>
      <c r="Q120" s="37"/>
    </row>
    <row r="121" spans="2:17">
      <c r="B121" s="164" t="s">
        <v>130</v>
      </c>
      <c r="C121" s="165"/>
      <c r="D121" s="165"/>
      <c r="E121" s="165"/>
      <c r="F121" s="36">
        <v>60</v>
      </c>
      <c r="G121" s="37"/>
      <c r="H121" s="37"/>
      <c r="I121" s="45">
        <f t="shared" si="12"/>
        <v>0</v>
      </c>
      <c r="J121" s="86">
        <f t="shared" si="14"/>
        <v>0</v>
      </c>
      <c r="K121" s="38"/>
      <c r="M121" s="37"/>
      <c r="N121" s="165"/>
      <c r="O121" s="165"/>
      <c r="P121" s="165"/>
      <c r="Q121" s="37"/>
    </row>
    <row r="122" spans="2:17">
      <c r="B122" s="164" t="s">
        <v>131</v>
      </c>
      <c r="C122" s="165"/>
      <c r="D122" s="165"/>
      <c r="E122" s="165"/>
      <c r="F122" s="36">
        <v>60</v>
      </c>
      <c r="G122" s="37"/>
      <c r="H122" s="37"/>
      <c r="I122" s="45">
        <f t="shared" si="12"/>
        <v>0</v>
      </c>
      <c r="J122" s="86">
        <f t="shared" si="14"/>
        <v>0</v>
      </c>
      <c r="K122" s="38"/>
      <c r="M122" s="37"/>
      <c r="N122" s="165"/>
      <c r="O122" s="165"/>
      <c r="P122" s="165"/>
      <c r="Q122" s="37"/>
    </row>
    <row r="123" spans="2:17">
      <c r="B123" s="164"/>
      <c r="C123" s="165"/>
      <c r="D123" s="165"/>
      <c r="E123" s="165"/>
      <c r="F123" s="36"/>
      <c r="G123" s="37"/>
      <c r="H123" s="37"/>
      <c r="I123" s="45">
        <f t="shared" si="12"/>
        <v>0</v>
      </c>
      <c r="J123" s="86">
        <f t="shared" si="14"/>
        <v>0</v>
      </c>
      <c r="K123" s="38"/>
      <c r="M123" s="37"/>
      <c r="N123" s="165"/>
      <c r="O123" s="165"/>
      <c r="P123" s="165"/>
      <c r="Q123" s="37"/>
    </row>
    <row r="124" spans="2:17" ht="19" thickBot="1">
      <c r="B124" s="164"/>
      <c r="C124" s="165"/>
      <c r="D124" s="165"/>
      <c r="E124" s="165"/>
      <c r="F124" s="36"/>
      <c r="G124" s="37"/>
      <c r="H124" s="37"/>
      <c r="I124" s="45">
        <f t="shared" si="12"/>
        <v>0</v>
      </c>
      <c r="J124" s="86">
        <f t="shared" si="14"/>
        <v>0</v>
      </c>
      <c r="K124" s="41"/>
      <c r="M124" s="37"/>
      <c r="N124" s="165"/>
      <c r="O124" s="165"/>
      <c r="P124" s="165"/>
      <c r="Q124" s="37"/>
    </row>
    <row r="125" spans="2:17" ht="19" thickBot="1">
      <c r="B125" s="188"/>
      <c r="C125" s="189"/>
      <c r="D125" s="189"/>
      <c r="E125" s="189"/>
      <c r="F125" s="39"/>
      <c r="G125" s="40"/>
      <c r="H125" s="40"/>
      <c r="I125" s="45"/>
      <c r="J125" s="46"/>
      <c r="K125" s="47">
        <f>SUM(I114:I124)</f>
        <v>0</v>
      </c>
      <c r="M125" s="37"/>
      <c r="N125" s="165"/>
      <c r="O125" s="165"/>
      <c r="P125" s="165"/>
      <c r="Q125" s="37"/>
    </row>
    <row r="126" spans="2:17" ht="20">
      <c r="B126" s="187" t="s">
        <v>151</v>
      </c>
      <c r="C126" s="187"/>
      <c r="D126" s="187"/>
      <c r="E126" s="187"/>
      <c r="F126" s="187"/>
      <c r="G126" s="187"/>
      <c r="H126" s="187"/>
      <c r="I126" s="54">
        <f>SUM(I8:I125)</f>
        <v>0</v>
      </c>
      <c r="J126" s="55">
        <f>SUM(J8:J125)</f>
        <v>0</v>
      </c>
      <c r="K126" s="54">
        <f>SUM(K46+K85+K94+K107+K113+K125)</f>
        <v>0</v>
      </c>
      <c r="M126" s="37"/>
      <c r="N126" s="165"/>
      <c r="O126" s="165"/>
      <c r="P126" s="165"/>
      <c r="Q126" s="37"/>
    </row>
    <row r="127" spans="2:17">
      <c r="B127" s="109"/>
      <c r="C127" s="109"/>
      <c r="D127" s="109"/>
      <c r="E127" s="109"/>
      <c r="F127" s="109"/>
      <c r="G127" s="109"/>
      <c r="H127" s="109"/>
      <c r="M127" s="37"/>
      <c r="N127" s="165"/>
      <c r="O127" s="165"/>
      <c r="P127" s="165"/>
      <c r="Q127" s="37"/>
    </row>
    <row r="128" spans="2:17" ht="21">
      <c r="B128" s="182"/>
      <c r="C128" s="182"/>
      <c r="D128" s="182"/>
      <c r="E128" s="182"/>
      <c r="F128" s="182"/>
      <c r="G128" s="182"/>
      <c r="H128" s="182"/>
      <c r="M128" s="37"/>
      <c r="N128" s="165"/>
      <c r="O128" s="165"/>
      <c r="P128" s="165"/>
      <c r="Q128" s="37"/>
    </row>
    <row r="129" spans="2:17" ht="20">
      <c r="B129" s="183"/>
      <c r="C129" s="183"/>
      <c r="D129" s="183"/>
      <c r="E129" s="183"/>
      <c r="F129" s="183"/>
      <c r="G129" s="183"/>
      <c r="H129" s="183"/>
      <c r="M129" s="37"/>
      <c r="N129" s="165"/>
      <c r="O129" s="165"/>
      <c r="P129" s="165"/>
      <c r="Q129" s="37"/>
    </row>
    <row r="130" spans="2:17" ht="21">
      <c r="B130" s="182"/>
      <c r="C130" s="182"/>
      <c r="D130" s="182"/>
      <c r="E130" s="182"/>
      <c r="F130" s="182"/>
      <c r="G130" s="182"/>
      <c r="H130" s="182"/>
      <c r="I130" s="44" t="s">
        <v>153</v>
      </c>
      <c r="J130" s="44" t="s">
        <v>154</v>
      </c>
      <c r="M130" s="37"/>
      <c r="N130" s="165"/>
      <c r="O130" s="165"/>
      <c r="P130" s="165"/>
      <c r="Q130" s="37"/>
    </row>
    <row r="131" spans="2:17" ht="21">
      <c r="B131" s="186" t="s">
        <v>147</v>
      </c>
      <c r="C131" s="186"/>
      <c r="D131" s="186"/>
      <c r="E131" s="186"/>
      <c r="F131" s="186"/>
      <c r="G131" s="186"/>
      <c r="H131" s="186"/>
      <c r="I131" s="52">
        <f>I126</f>
        <v>0</v>
      </c>
      <c r="J131" s="53">
        <f>I131*I138</f>
        <v>0</v>
      </c>
      <c r="M131" s="37"/>
      <c r="N131" s="165"/>
      <c r="O131" s="165"/>
      <c r="P131" s="165"/>
      <c r="Q131" s="37"/>
    </row>
    <row r="132" spans="2:17" ht="20">
      <c r="B132" s="177" t="s">
        <v>148</v>
      </c>
      <c r="C132" s="177"/>
      <c r="D132" s="177"/>
      <c r="E132" s="177"/>
      <c r="F132" s="177"/>
      <c r="G132" s="177"/>
      <c r="H132" s="177"/>
      <c r="I132" s="52">
        <f>(I131+'Pto. Dólares-Soles'!F20)*3%</f>
        <v>0</v>
      </c>
      <c r="J132" s="53">
        <f>I132*I138</f>
        <v>0</v>
      </c>
      <c r="M132" s="37"/>
      <c r="N132" s="165"/>
      <c r="O132" s="165"/>
      <c r="P132" s="165"/>
      <c r="Q132" s="37"/>
    </row>
    <row r="133" spans="2:17" ht="21">
      <c r="B133" s="186" t="s">
        <v>149</v>
      </c>
      <c r="C133" s="186"/>
      <c r="D133" s="186"/>
      <c r="E133" s="186"/>
      <c r="F133" s="186"/>
      <c r="G133" s="186"/>
      <c r="H133" s="186"/>
      <c r="I133" s="52">
        <f>SUM(I131+I132)</f>
        <v>0</v>
      </c>
      <c r="J133" s="53">
        <f>I133*$I$138</f>
        <v>0</v>
      </c>
      <c r="M133" s="37"/>
      <c r="N133" s="165"/>
      <c r="O133" s="165"/>
      <c r="P133" s="165"/>
      <c r="Q133" s="37"/>
    </row>
    <row r="134" spans="2:17" ht="21">
      <c r="B134" s="91"/>
      <c r="C134" s="91"/>
      <c r="D134" s="91"/>
      <c r="E134" s="91"/>
      <c r="F134" s="91"/>
      <c r="G134" s="91"/>
      <c r="H134" s="91" t="s">
        <v>274</v>
      </c>
      <c r="I134" s="52">
        <f>(I133+'Pto. Dólares-Soles'!F258)*10%</f>
        <v>0</v>
      </c>
      <c r="J134" s="53">
        <f>I134*$I$138</f>
        <v>0</v>
      </c>
      <c r="M134" s="42"/>
      <c r="N134" s="42"/>
      <c r="O134" s="42"/>
      <c r="P134" s="37"/>
      <c r="Q134" s="37"/>
    </row>
    <row r="135" spans="2:17" ht="21" thickBot="1">
      <c r="B135" s="177" t="s">
        <v>150</v>
      </c>
      <c r="C135" s="177"/>
      <c r="D135" s="177"/>
      <c r="E135" s="177"/>
      <c r="F135" s="177"/>
      <c r="G135" s="177"/>
      <c r="H135" s="177"/>
      <c r="I135" s="52">
        <f>I133*15%*0</f>
        <v>0</v>
      </c>
      <c r="J135" s="53">
        <f>I135*I138</f>
        <v>0</v>
      </c>
      <c r="M135" s="42"/>
      <c r="N135" s="195"/>
      <c r="O135" s="195"/>
      <c r="P135" s="165"/>
      <c r="Q135" s="37"/>
    </row>
    <row r="136" spans="2:17" ht="24" thickBot="1">
      <c r="B136" s="178" t="s">
        <v>152</v>
      </c>
      <c r="C136" s="178"/>
      <c r="D136" s="178"/>
      <c r="E136" s="178"/>
      <c r="F136" s="178"/>
      <c r="G136" s="178"/>
      <c r="H136" s="178"/>
      <c r="I136" s="50">
        <f>SUM(I133:I135)</f>
        <v>0</v>
      </c>
      <c r="J136" s="51">
        <f>I136*I138</f>
        <v>0</v>
      </c>
      <c r="M136" s="56">
        <f>SUM(M8:M135)</f>
        <v>0</v>
      </c>
      <c r="N136" s="193">
        <f>I136-M136</f>
        <v>0</v>
      </c>
      <c r="O136" s="194"/>
    </row>
    <row r="137" spans="2:17">
      <c r="B137" s="109"/>
      <c r="C137" s="109"/>
      <c r="D137" s="109"/>
      <c r="E137" s="109"/>
      <c r="F137" s="109"/>
      <c r="G137" s="109"/>
      <c r="H137" s="109"/>
    </row>
    <row r="138" spans="2:17">
      <c r="B138" s="179" t="s">
        <v>155</v>
      </c>
      <c r="C138" s="179"/>
      <c r="D138" s="179"/>
      <c r="E138" s="179"/>
      <c r="F138" s="179"/>
      <c r="G138" s="179"/>
      <c r="H138" s="179"/>
      <c r="I138">
        <v>3.6</v>
      </c>
    </row>
    <row r="139" spans="2:17">
      <c r="B139" s="109"/>
      <c r="C139" s="109"/>
      <c r="D139" s="109"/>
      <c r="E139" s="109"/>
      <c r="F139" s="109"/>
      <c r="G139" s="109"/>
      <c r="H139" s="109"/>
    </row>
    <row r="140" spans="2:17" ht="21">
      <c r="B140" s="180" t="s">
        <v>188</v>
      </c>
      <c r="C140" s="181"/>
      <c r="D140" s="181"/>
      <c r="E140" s="181"/>
      <c r="F140" s="181"/>
      <c r="G140" s="181"/>
      <c r="H140" s="181"/>
      <c r="I140" s="181"/>
      <c r="J140" s="181"/>
    </row>
    <row r="141" spans="2:17" ht="21">
      <c r="B141" s="180" t="s">
        <v>242</v>
      </c>
      <c r="C141" s="181"/>
      <c r="D141" s="181"/>
      <c r="E141" s="181"/>
      <c r="F141" s="181"/>
      <c r="G141" s="181"/>
      <c r="H141" s="181"/>
      <c r="I141" s="181"/>
      <c r="J141" s="181"/>
    </row>
    <row r="142" spans="2:17">
      <c r="B142" s="109"/>
      <c r="C142" s="109"/>
      <c r="D142" s="109"/>
      <c r="E142" s="109"/>
    </row>
    <row r="143" spans="2:17">
      <c r="B143" s="109"/>
      <c r="C143" s="109"/>
      <c r="D143" s="109"/>
      <c r="E143" s="109"/>
    </row>
    <row r="144" spans="2:17">
      <c r="B144" s="109"/>
      <c r="C144" s="109"/>
      <c r="D144" s="109"/>
      <c r="E144" s="109"/>
    </row>
    <row r="145" spans="2:5">
      <c r="B145" s="109"/>
      <c r="C145" s="109"/>
      <c r="D145" s="109"/>
      <c r="E145" s="109"/>
    </row>
    <row r="146" spans="2:5">
      <c r="B146" s="176"/>
      <c r="C146" s="176"/>
      <c r="D146" s="176"/>
      <c r="E146" s="176"/>
    </row>
    <row r="147" spans="2:5">
      <c r="B147" s="109"/>
      <c r="C147" s="109"/>
      <c r="D147" s="109"/>
      <c r="E147" s="109"/>
    </row>
    <row r="148" spans="2:5">
      <c r="B148" s="109"/>
      <c r="C148" s="109"/>
      <c r="D148" s="109"/>
      <c r="E148" s="109"/>
    </row>
    <row r="149" spans="2:5">
      <c r="B149" s="109"/>
      <c r="C149" s="109"/>
      <c r="D149" s="109"/>
      <c r="E149" s="109"/>
    </row>
    <row r="150" spans="2:5">
      <c r="B150" s="109"/>
      <c r="C150" s="109"/>
      <c r="D150" s="109"/>
      <c r="E150" s="109"/>
    </row>
    <row r="151" spans="2:5">
      <c r="B151" s="109"/>
      <c r="C151" s="109"/>
      <c r="D151" s="109"/>
      <c r="E151" s="109"/>
    </row>
    <row r="152" spans="2:5">
      <c r="B152" s="109"/>
      <c r="C152" s="109"/>
      <c r="D152" s="109"/>
      <c r="E152" s="109"/>
    </row>
    <row r="153" spans="2:5">
      <c r="B153" s="109"/>
      <c r="C153" s="109"/>
      <c r="D153" s="109"/>
      <c r="E153" s="109"/>
    </row>
    <row r="154" spans="2:5">
      <c r="B154" s="109"/>
      <c r="C154" s="109"/>
      <c r="D154" s="109"/>
      <c r="E154" s="109"/>
    </row>
    <row r="155" spans="2:5">
      <c r="B155" s="109"/>
      <c r="C155" s="109"/>
      <c r="D155" s="109"/>
      <c r="E155" s="109"/>
    </row>
    <row r="156" spans="2:5">
      <c r="B156" s="109"/>
      <c r="C156" s="109"/>
      <c r="D156" s="109"/>
      <c r="E156" s="109"/>
    </row>
    <row r="157" spans="2:5">
      <c r="B157" s="109"/>
      <c r="C157" s="109"/>
      <c r="D157" s="109"/>
      <c r="E157" s="109"/>
    </row>
    <row r="158" spans="2:5">
      <c r="B158" s="109"/>
      <c r="C158" s="109"/>
      <c r="D158" s="109"/>
      <c r="E158" s="109"/>
    </row>
    <row r="159" spans="2:5">
      <c r="B159" s="109"/>
      <c r="C159" s="109"/>
      <c r="D159" s="109"/>
      <c r="E159" s="109"/>
    </row>
    <row r="160" spans="2:5">
      <c r="B160" s="109"/>
      <c r="C160" s="109"/>
      <c r="D160" s="109"/>
      <c r="E160" s="109"/>
    </row>
    <row r="161" spans="2:5">
      <c r="B161" s="109"/>
      <c r="C161" s="109"/>
      <c r="D161" s="109"/>
      <c r="E161" s="109"/>
    </row>
    <row r="162" spans="2:5">
      <c r="B162" s="109"/>
      <c r="C162" s="109"/>
      <c r="D162" s="109"/>
      <c r="E162" s="109"/>
    </row>
    <row r="163" spans="2:5">
      <c r="B163" s="109"/>
      <c r="C163" s="109"/>
      <c r="D163" s="109"/>
      <c r="E163" s="109"/>
    </row>
    <row r="164" spans="2:5">
      <c r="B164" s="109"/>
      <c r="C164" s="109"/>
      <c r="D164" s="109"/>
      <c r="E164" s="109"/>
    </row>
    <row r="165" spans="2:5">
      <c r="B165" s="109"/>
      <c r="C165" s="109"/>
      <c r="D165" s="109"/>
      <c r="E165" s="109"/>
    </row>
    <row r="166" spans="2:5">
      <c r="B166" s="109"/>
      <c r="C166" s="109"/>
      <c r="D166" s="109"/>
      <c r="E166" s="109"/>
    </row>
    <row r="167" spans="2:5">
      <c r="B167" s="109"/>
      <c r="C167" s="109"/>
      <c r="D167" s="109"/>
      <c r="E167" s="109"/>
    </row>
    <row r="168" spans="2:5">
      <c r="B168" s="109"/>
      <c r="C168" s="109"/>
      <c r="D168" s="109"/>
      <c r="E168" s="109"/>
    </row>
    <row r="169" spans="2:5">
      <c r="B169" s="109"/>
      <c r="C169" s="109"/>
      <c r="D169" s="109"/>
      <c r="E169" s="109"/>
    </row>
    <row r="170" spans="2:5">
      <c r="B170" s="109"/>
      <c r="C170" s="109"/>
      <c r="D170" s="109"/>
      <c r="E170" s="109"/>
    </row>
    <row r="171" spans="2:5">
      <c r="B171" s="109"/>
      <c r="C171" s="109"/>
      <c r="D171" s="109"/>
      <c r="E171" s="109"/>
    </row>
    <row r="172" spans="2:5">
      <c r="B172" s="109"/>
      <c r="C172" s="109"/>
      <c r="D172" s="109"/>
      <c r="E172" s="109"/>
    </row>
    <row r="173" spans="2:5">
      <c r="B173" s="109"/>
      <c r="C173" s="109"/>
      <c r="D173" s="109"/>
      <c r="E173" s="109"/>
    </row>
    <row r="174" spans="2:5">
      <c r="B174" s="109"/>
      <c r="C174" s="109"/>
      <c r="D174" s="109"/>
      <c r="E174" s="109"/>
    </row>
    <row r="175" spans="2:5">
      <c r="B175" s="109"/>
      <c r="C175" s="109"/>
      <c r="D175" s="109"/>
      <c r="E175" s="109"/>
    </row>
    <row r="176" spans="2:5">
      <c r="B176" s="109"/>
      <c r="C176" s="109"/>
      <c r="D176" s="109"/>
      <c r="E176" s="109"/>
    </row>
    <row r="177" spans="2:5">
      <c r="B177" s="109"/>
      <c r="C177" s="109"/>
      <c r="D177" s="109"/>
      <c r="E177" s="109"/>
    </row>
    <row r="178" spans="2:5">
      <c r="B178" s="109"/>
      <c r="C178" s="109"/>
      <c r="D178" s="109"/>
      <c r="E178" s="109"/>
    </row>
    <row r="179" spans="2:5">
      <c r="B179" s="109"/>
      <c r="C179" s="109"/>
      <c r="D179" s="109"/>
      <c r="E179" s="109"/>
    </row>
    <row r="180" spans="2:5">
      <c r="B180" s="109"/>
      <c r="C180" s="109"/>
      <c r="D180" s="109"/>
      <c r="E180" s="109"/>
    </row>
    <row r="181" spans="2:5">
      <c r="B181" s="109"/>
      <c r="C181" s="109"/>
      <c r="D181" s="109"/>
      <c r="E181" s="109"/>
    </row>
    <row r="182" spans="2:5">
      <c r="B182" s="109"/>
      <c r="C182" s="109"/>
      <c r="D182" s="109"/>
      <c r="E182" s="109"/>
    </row>
    <row r="183" spans="2:5">
      <c r="B183" s="109"/>
      <c r="C183" s="109"/>
      <c r="D183" s="109"/>
      <c r="E183" s="109"/>
    </row>
    <row r="184" spans="2:5">
      <c r="B184" s="109"/>
      <c r="C184" s="109"/>
      <c r="D184" s="109"/>
      <c r="E184" s="109"/>
    </row>
    <row r="185" spans="2:5">
      <c r="B185" s="109"/>
      <c r="C185" s="109"/>
      <c r="D185" s="109"/>
      <c r="E185" s="109"/>
    </row>
    <row r="186" spans="2:5">
      <c r="B186" s="109"/>
      <c r="C186" s="109"/>
      <c r="D186" s="109"/>
      <c r="E186" s="109"/>
    </row>
    <row r="187" spans="2:5">
      <c r="B187" s="109"/>
      <c r="C187" s="109"/>
      <c r="D187" s="109"/>
      <c r="E187" s="109"/>
    </row>
    <row r="188" spans="2:5">
      <c r="B188" s="109"/>
      <c r="C188" s="109"/>
      <c r="D188" s="109"/>
      <c r="E188" s="109"/>
    </row>
    <row r="189" spans="2:5">
      <c r="B189" s="109"/>
      <c r="C189" s="109"/>
      <c r="D189" s="109"/>
      <c r="E189" s="109"/>
    </row>
    <row r="190" spans="2:5">
      <c r="B190" s="109"/>
      <c r="C190" s="109"/>
      <c r="D190" s="109"/>
      <c r="E190" s="109"/>
    </row>
    <row r="191" spans="2:5">
      <c r="B191" s="109"/>
      <c r="C191" s="109"/>
      <c r="D191" s="109"/>
      <c r="E191" s="109"/>
    </row>
    <row r="192" spans="2:5">
      <c r="B192" s="109"/>
      <c r="C192" s="109"/>
      <c r="D192" s="109"/>
      <c r="E192" s="109"/>
    </row>
    <row r="193" spans="2:5">
      <c r="B193" s="109"/>
      <c r="C193" s="109"/>
      <c r="D193" s="109"/>
      <c r="E193" s="109"/>
    </row>
    <row r="194" spans="2:5">
      <c r="B194" s="109"/>
      <c r="C194" s="109"/>
      <c r="D194" s="109"/>
      <c r="E194" s="109"/>
    </row>
    <row r="195" spans="2:5">
      <c r="B195" s="109"/>
      <c r="C195" s="109"/>
      <c r="D195" s="109"/>
      <c r="E195" s="109"/>
    </row>
    <row r="196" spans="2:5">
      <c r="B196" s="109"/>
      <c r="C196" s="109"/>
      <c r="D196" s="109"/>
      <c r="E196" s="109"/>
    </row>
    <row r="197" spans="2:5">
      <c r="B197" s="109"/>
      <c r="C197" s="109"/>
      <c r="D197" s="109"/>
      <c r="E197" s="109"/>
    </row>
    <row r="198" spans="2:5">
      <c r="B198" s="109"/>
      <c r="C198" s="109"/>
      <c r="D198" s="109"/>
      <c r="E198" s="109"/>
    </row>
    <row r="199" spans="2:5">
      <c r="B199" s="109"/>
      <c r="C199" s="109"/>
      <c r="D199" s="109"/>
      <c r="E199" s="109"/>
    </row>
    <row r="200" spans="2:5">
      <c r="B200" s="109"/>
      <c r="C200" s="109"/>
      <c r="D200" s="109"/>
      <c r="E200" s="109"/>
    </row>
    <row r="201" spans="2:5">
      <c r="B201" s="109"/>
      <c r="C201" s="109"/>
      <c r="D201" s="109"/>
      <c r="E201" s="109"/>
    </row>
    <row r="202" spans="2:5">
      <c r="B202" s="109"/>
      <c r="C202" s="109"/>
      <c r="D202" s="109"/>
      <c r="E202" s="109"/>
    </row>
    <row r="203" spans="2:5">
      <c r="B203" s="109"/>
      <c r="C203" s="109"/>
      <c r="D203" s="109"/>
      <c r="E203" s="109"/>
    </row>
    <row r="204" spans="2:5">
      <c r="B204" s="109"/>
      <c r="C204" s="109"/>
      <c r="D204" s="109"/>
      <c r="E204" s="109"/>
    </row>
    <row r="205" spans="2:5">
      <c r="B205" s="109"/>
      <c r="C205" s="109"/>
      <c r="D205" s="109"/>
      <c r="E205" s="109"/>
    </row>
    <row r="206" spans="2:5">
      <c r="B206" s="109"/>
      <c r="C206" s="109"/>
      <c r="D206" s="109"/>
      <c r="E206" s="109"/>
    </row>
    <row r="207" spans="2:5">
      <c r="B207" s="109"/>
      <c r="C207" s="109"/>
      <c r="D207" s="109"/>
      <c r="E207" s="109"/>
    </row>
    <row r="208" spans="2:5">
      <c r="B208" s="109"/>
      <c r="C208" s="109"/>
      <c r="D208" s="109"/>
      <c r="E208" s="109"/>
    </row>
    <row r="209" spans="2:9">
      <c r="B209" s="109"/>
      <c r="C209" s="109"/>
      <c r="D209" s="109"/>
      <c r="E209" s="109"/>
    </row>
    <row r="210" spans="2:9">
      <c r="B210" s="109"/>
      <c r="C210" s="109"/>
      <c r="D210" s="109"/>
      <c r="E210" s="109"/>
    </row>
    <row r="211" spans="2:9">
      <c r="B211" s="109"/>
      <c r="C211" s="109"/>
      <c r="D211" s="109"/>
      <c r="E211" s="109"/>
    </row>
    <row r="212" spans="2:9">
      <c r="B212" s="109"/>
      <c r="C212" s="109"/>
      <c r="D212" s="109"/>
      <c r="E212" s="109"/>
    </row>
    <row r="213" spans="2:9">
      <c r="B213" s="109"/>
      <c r="C213" s="109"/>
      <c r="D213" s="109"/>
      <c r="E213" s="109"/>
    </row>
    <row r="214" spans="2:9">
      <c r="B214" s="109"/>
      <c r="C214" s="109"/>
      <c r="D214" s="109"/>
      <c r="E214" s="109"/>
    </row>
    <row r="215" spans="2:9">
      <c r="B215" s="109"/>
      <c r="C215" s="109"/>
      <c r="D215" s="109"/>
      <c r="E215" s="109"/>
    </row>
    <row r="216" spans="2:9">
      <c r="B216" s="109"/>
      <c r="C216" s="109"/>
      <c r="D216" s="109"/>
      <c r="E216" s="109"/>
    </row>
    <row r="217" spans="2:9">
      <c r="B217" s="109"/>
      <c r="C217" s="109"/>
      <c r="D217" s="109"/>
      <c r="E217" s="109"/>
    </row>
    <row r="218" spans="2:9">
      <c r="B218" s="109"/>
      <c r="C218" s="109"/>
      <c r="D218" s="109"/>
      <c r="E218" s="109"/>
    </row>
    <row r="219" spans="2:9">
      <c r="B219" s="109"/>
      <c r="C219" s="109"/>
      <c r="D219" s="109"/>
      <c r="E219" s="109"/>
      <c r="I219" s="37">
        <f t="shared" ref="I219" si="15">F219*G219*H219</f>
        <v>0</v>
      </c>
    </row>
  </sheetData>
  <mergeCells count="345">
    <mergeCell ref="N121:P121"/>
    <mergeCell ref="N122:P122"/>
    <mergeCell ref="N123:P123"/>
    <mergeCell ref="N124:P124"/>
    <mergeCell ref="N125:P125"/>
    <mergeCell ref="N126:P126"/>
    <mergeCell ref="N136:O136"/>
    <mergeCell ref="N127:P127"/>
    <mergeCell ref="N128:P128"/>
    <mergeCell ref="N129:P129"/>
    <mergeCell ref="N130:P130"/>
    <mergeCell ref="N131:P131"/>
    <mergeCell ref="N132:P132"/>
    <mergeCell ref="N133:P133"/>
    <mergeCell ref="N135:P135"/>
    <mergeCell ref="N112:P112"/>
    <mergeCell ref="N113:P113"/>
    <mergeCell ref="N114:P114"/>
    <mergeCell ref="N115:P115"/>
    <mergeCell ref="N116:P116"/>
    <mergeCell ref="N117:P117"/>
    <mergeCell ref="N118:P118"/>
    <mergeCell ref="N119:P119"/>
    <mergeCell ref="N120:P120"/>
    <mergeCell ref="N103:P103"/>
    <mergeCell ref="N104:P104"/>
    <mergeCell ref="N105:P105"/>
    <mergeCell ref="N106:P106"/>
    <mergeCell ref="N107:P107"/>
    <mergeCell ref="N108:P108"/>
    <mergeCell ref="N109:P109"/>
    <mergeCell ref="N110:P110"/>
    <mergeCell ref="N111:P111"/>
    <mergeCell ref="N94:P94"/>
    <mergeCell ref="N95:P95"/>
    <mergeCell ref="N96:P96"/>
    <mergeCell ref="N97:P97"/>
    <mergeCell ref="N98:P98"/>
    <mergeCell ref="N99:P99"/>
    <mergeCell ref="N100:P100"/>
    <mergeCell ref="N101:P101"/>
    <mergeCell ref="N102:P102"/>
    <mergeCell ref="N85:P85"/>
    <mergeCell ref="N86:P86"/>
    <mergeCell ref="N87:P87"/>
    <mergeCell ref="N88:P88"/>
    <mergeCell ref="N89:P89"/>
    <mergeCell ref="N90:P90"/>
    <mergeCell ref="N91:P91"/>
    <mergeCell ref="N92:P92"/>
    <mergeCell ref="N93:P93"/>
    <mergeCell ref="N76:P76"/>
    <mergeCell ref="N77:P77"/>
    <mergeCell ref="N78:P78"/>
    <mergeCell ref="N79:P79"/>
    <mergeCell ref="N80:P80"/>
    <mergeCell ref="N81:P81"/>
    <mergeCell ref="N82:P82"/>
    <mergeCell ref="N83:P83"/>
    <mergeCell ref="N84:P84"/>
    <mergeCell ref="N66:P66"/>
    <mergeCell ref="N67:P67"/>
    <mergeCell ref="N68:P68"/>
    <mergeCell ref="N69:P69"/>
    <mergeCell ref="N71:P71"/>
    <mergeCell ref="N72:P72"/>
    <mergeCell ref="N73:P73"/>
    <mergeCell ref="N74:P74"/>
    <mergeCell ref="N75:P75"/>
    <mergeCell ref="N70:P70"/>
    <mergeCell ref="N55:P55"/>
    <mergeCell ref="N56:P56"/>
    <mergeCell ref="N57:P57"/>
    <mergeCell ref="N58:P58"/>
    <mergeCell ref="N59:P59"/>
    <mergeCell ref="N60:P60"/>
    <mergeCell ref="N63:P63"/>
    <mergeCell ref="N64:P64"/>
    <mergeCell ref="N65:P65"/>
    <mergeCell ref="N61:P61"/>
    <mergeCell ref="N62:P62"/>
    <mergeCell ref="N46:P46"/>
    <mergeCell ref="N47:P47"/>
    <mergeCell ref="N48:P48"/>
    <mergeCell ref="N49:P49"/>
    <mergeCell ref="N50:P50"/>
    <mergeCell ref="N51:P51"/>
    <mergeCell ref="N52:P52"/>
    <mergeCell ref="N53:P53"/>
    <mergeCell ref="N54:P54"/>
    <mergeCell ref="N37:P37"/>
    <mergeCell ref="N38:P38"/>
    <mergeCell ref="N39:P39"/>
    <mergeCell ref="N40:P40"/>
    <mergeCell ref="N41:P41"/>
    <mergeCell ref="N42:P42"/>
    <mergeCell ref="N43:P43"/>
    <mergeCell ref="N44:P44"/>
    <mergeCell ref="N45:P45"/>
    <mergeCell ref="N26:P26"/>
    <mergeCell ref="N27:P27"/>
    <mergeCell ref="N28:P28"/>
    <mergeCell ref="N29:P29"/>
    <mergeCell ref="N31:P31"/>
    <mergeCell ref="N32:P32"/>
    <mergeCell ref="N34:P34"/>
    <mergeCell ref="N35:P35"/>
    <mergeCell ref="N36:P36"/>
    <mergeCell ref="N30:P30"/>
    <mergeCell ref="N33:P33"/>
    <mergeCell ref="N16:P16"/>
    <mergeCell ref="N18:P18"/>
    <mergeCell ref="N19:P19"/>
    <mergeCell ref="N20:P20"/>
    <mergeCell ref="N21:P21"/>
    <mergeCell ref="N22:P22"/>
    <mergeCell ref="N23:P23"/>
    <mergeCell ref="N24:P24"/>
    <mergeCell ref="N25:P25"/>
    <mergeCell ref="N7:P7"/>
    <mergeCell ref="N8:P8"/>
    <mergeCell ref="N9:P9"/>
    <mergeCell ref="N10:P10"/>
    <mergeCell ref="N11:P11"/>
    <mergeCell ref="N12:P12"/>
    <mergeCell ref="N13:P13"/>
    <mergeCell ref="N14:P14"/>
    <mergeCell ref="N15:P15"/>
    <mergeCell ref="B131:H131"/>
    <mergeCell ref="B132:H132"/>
    <mergeCell ref="B126:H126"/>
    <mergeCell ref="B127:H127"/>
    <mergeCell ref="B133:H133"/>
    <mergeCell ref="B58:E58"/>
    <mergeCell ref="B123:E123"/>
    <mergeCell ref="B124:E124"/>
    <mergeCell ref="B125:E125"/>
    <mergeCell ref="B117:E117"/>
    <mergeCell ref="B118:E118"/>
    <mergeCell ref="B119:E119"/>
    <mergeCell ref="B120:E120"/>
    <mergeCell ref="B121:E121"/>
    <mergeCell ref="B122:E122"/>
    <mergeCell ref="B110:E110"/>
    <mergeCell ref="B111:E111"/>
    <mergeCell ref="B113:E113"/>
    <mergeCell ref="B114:E114"/>
    <mergeCell ref="B115:E115"/>
    <mergeCell ref="B116:E116"/>
    <mergeCell ref="B82:E82"/>
    <mergeCell ref="B83:E83"/>
    <mergeCell ref="B85:E85"/>
    <mergeCell ref="B128:H128"/>
    <mergeCell ref="B129:H129"/>
    <mergeCell ref="B130:H130"/>
    <mergeCell ref="B84:E84"/>
    <mergeCell ref="B93:E93"/>
    <mergeCell ref="B106:E106"/>
    <mergeCell ref="B102:E102"/>
    <mergeCell ref="B103:E103"/>
    <mergeCell ref="B104:E104"/>
    <mergeCell ref="B105:E105"/>
    <mergeCell ref="B107:E107"/>
    <mergeCell ref="B108:E108"/>
    <mergeCell ref="B112:E112"/>
    <mergeCell ref="B96:E96"/>
    <mergeCell ref="B97:E97"/>
    <mergeCell ref="B98:E98"/>
    <mergeCell ref="B99:E99"/>
    <mergeCell ref="B100:E100"/>
    <mergeCell ref="B101:E101"/>
    <mergeCell ref="B89:E89"/>
    <mergeCell ref="B90:E90"/>
    <mergeCell ref="B91:E91"/>
    <mergeCell ref="B92:E92"/>
    <mergeCell ref="B94:E94"/>
    <mergeCell ref="B202:E202"/>
    <mergeCell ref="B203:E203"/>
    <mergeCell ref="B204:E204"/>
    <mergeCell ref="B205:E205"/>
    <mergeCell ref="B206:E206"/>
    <mergeCell ref="B207:E207"/>
    <mergeCell ref="B196:E196"/>
    <mergeCell ref="B197:E197"/>
    <mergeCell ref="B198:E198"/>
    <mergeCell ref="B199:E199"/>
    <mergeCell ref="B200:E200"/>
    <mergeCell ref="B201:E201"/>
    <mergeCell ref="B214:E214"/>
    <mergeCell ref="B215:E215"/>
    <mergeCell ref="B216:E216"/>
    <mergeCell ref="B217:E217"/>
    <mergeCell ref="B218:E218"/>
    <mergeCell ref="B219:E219"/>
    <mergeCell ref="B208:E208"/>
    <mergeCell ref="B209:E209"/>
    <mergeCell ref="B210:E210"/>
    <mergeCell ref="B211:E211"/>
    <mergeCell ref="B212:E212"/>
    <mergeCell ref="B213:E213"/>
    <mergeCell ref="B190:E190"/>
    <mergeCell ref="B191:E191"/>
    <mergeCell ref="B192:E192"/>
    <mergeCell ref="B193:E193"/>
    <mergeCell ref="B194:E194"/>
    <mergeCell ref="B195:E195"/>
    <mergeCell ref="B184:E184"/>
    <mergeCell ref="B185:E185"/>
    <mergeCell ref="B186:E186"/>
    <mergeCell ref="B187:E187"/>
    <mergeCell ref="B188:E188"/>
    <mergeCell ref="B189:E189"/>
    <mergeCell ref="B178:E178"/>
    <mergeCell ref="B179:E179"/>
    <mergeCell ref="B180:E180"/>
    <mergeCell ref="B181:E181"/>
    <mergeCell ref="B182:E182"/>
    <mergeCell ref="B183:E183"/>
    <mergeCell ref="B172:E172"/>
    <mergeCell ref="B173:E173"/>
    <mergeCell ref="B174:E174"/>
    <mergeCell ref="B175:E175"/>
    <mergeCell ref="B176:E176"/>
    <mergeCell ref="B177:E177"/>
    <mergeCell ref="B166:E166"/>
    <mergeCell ref="B167:E167"/>
    <mergeCell ref="B168:E168"/>
    <mergeCell ref="B169:E169"/>
    <mergeCell ref="B170:E170"/>
    <mergeCell ref="B171:E171"/>
    <mergeCell ref="B160:E160"/>
    <mergeCell ref="B161:E161"/>
    <mergeCell ref="B162:E162"/>
    <mergeCell ref="B163:E163"/>
    <mergeCell ref="B164:E164"/>
    <mergeCell ref="B165:E165"/>
    <mergeCell ref="B154:E154"/>
    <mergeCell ref="B155:E155"/>
    <mergeCell ref="B156:E156"/>
    <mergeCell ref="B157:E157"/>
    <mergeCell ref="B158:E158"/>
    <mergeCell ref="B159:E159"/>
    <mergeCell ref="B148:E148"/>
    <mergeCell ref="B149:E149"/>
    <mergeCell ref="B150:E150"/>
    <mergeCell ref="B151:E151"/>
    <mergeCell ref="B152:E152"/>
    <mergeCell ref="B153:E153"/>
    <mergeCell ref="B142:E142"/>
    <mergeCell ref="B143:E143"/>
    <mergeCell ref="B144:E144"/>
    <mergeCell ref="B145:E145"/>
    <mergeCell ref="B146:E146"/>
    <mergeCell ref="B147:E147"/>
    <mergeCell ref="B135:H135"/>
    <mergeCell ref="B136:H136"/>
    <mergeCell ref="B137:H137"/>
    <mergeCell ref="B138:H138"/>
    <mergeCell ref="B139:H139"/>
    <mergeCell ref="B140:J140"/>
    <mergeCell ref="B141:J141"/>
    <mergeCell ref="B95:E95"/>
    <mergeCell ref="B109:E109"/>
    <mergeCell ref="B76:E76"/>
    <mergeCell ref="B77:E77"/>
    <mergeCell ref="B78:E78"/>
    <mergeCell ref="B79:E79"/>
    <mergeCell ref="B80:E80"/>
    <mergeCell ref="B81:E81"/>
    <mergeCell ref="B86:E86"/>
    <mergeCell ref="B87:E87"/>
    <mergeCell ref="B88:E88"/>
    <mergeCell ref="B68:E68"/>
    <mergeCell ref="B69:E69"/>
    <mergeCell ref="B71:E71"/>
    <mergeCell ref="B72:E72"/>
    <mergeCell ref="B73:E73"/>
    <mergeCell ref="B75:E75"/>
    <mergeCell ref="B74:E74"/>
    <mergeCell ref="B59:E59"/>
    <mergeCell ref="B60:E60"/>
    <mergeCell ref="B64:E64"/>
    <mergeCell ref="B65:E65"/>
    <mergeCell ref="B66:E66"/>
    <mergeCell ref="B67:E67"/>
    <mergeCell ref="B63:E63"/>
    <mergeCell ref="B70:E70"/>
    <mergeCell ref="B61:E61"/>
    <mergeCell ref="B62:E62"/>
    <mergeCell ref="B50:E50"/>
    <mergeCell ref="B51:E51"/>
    <mergeCell ref="B52:E52"/>
    <mergeCell ref="B53:E53"/>
    <mergeCell ref="B54:E54"/>
    <mergeCell ref="B57:E57"/>
    <mergeCell ref="B55:E55"/>
    <mergeCell ref="B56:E56"/>
    <mergeCell ref="B42:E42"/>
    <mergeCell ref="B43:E43"/>
    <mergeCell ref="B44:E44"/>
    <mergeCell ref="B46:E46"/>
    <mergeCell ref="B47:E47"/>
    <mergeCell ref="B49:E49"/>
    <mergeCell ref="B36:E36"/>
    <mergeCell ref="B37:E37"/>
    <mergeCell ref="B38:E38"/>
    <mergeCell ref="B39:E39"/>
    <mergeCell ref="B40:E40"/>
    <mergeCell ref="B41:E41"/>
    <mergeCell ref="B48:E48"/>
    <mergeCell ref="B45:E45"/>
    <mergeCell ref="B32:E32"/>
    <mergeCell ref="B34:E34"/>
    <mergeCell ref="B35:E35"/>
    <mergeCell ref="B33:E33"/>
    <mergeCell ref="B22:E22"/>
    <mergeCell ref="B23:E23"/>
    <mergeCell ref="B24:E24"/>
    <mergeCell ref="B27:E27"/>
    <mergeCell ref="B28:E28"/>
    <mergeCell ref="B29:E29"/>
    <mergeCell ref="B31:E31"/>
    <mergeCell ref="B25:E25"/>
    <mergeCell ref="B26:E26"/>
    <mergeCell ref="B30:E30"/>
    <mergeCell ref="B16:E16"/>
    <mergeCell ref="B18:E18"/>
    <mergeCell ref="B19:E19"/>
    <mergeCell ref="B20:E20"/>
    <mergeCell ref="B21:E21"/>
    <mergeCell ref="B9:E9"/>
    <mergeCell ref="B10:E10"/>
    <mergeCell ref="B11:E11"/>
    <mergeCell ref="B12:E12"/>
    <mergeCell ref="B13:E13"/>
    <mergeCell ref="B14:E14"/>
    <mergeCell ref="B1:E1"/>
    <mergeCell ref="B2:E2"/>
    <mergeCell ref="B3:E3"/>
    <mergeCell ref="B6:E6"/>
    <mergeCell ref="B7:E7"/>
    <mergeCell ref="B8:E8"/>
    <mergeCell ref="C4:E4"/>
    <mergeCell ref="C5:E5"/>
    <mergeCell ref="B15:E15"/>
  </mergeCells>
  <pageMargins left="0.70866141732283472" right="0.70866141732283472" top="0.74803149606299213" bottom="0.74803149606299213" header="0.31496062992125984" footer="0.31496062992125984"/>
  <pageSetup paperSize="9" scale="6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Pto. Dólares-Soles</vt:lpstr>
      <vt:lpstr>Pto. Realización</vt:lpstr>
      <vt:lpstr>'Pto. Dólares-Soles'!Área_de_impresión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Microsoft Office</dc:creator>
  <cp:lastModifiedBy>Jose Carlos </cp:lastModifiedBy>
  <cp:lastPrinted>2016-04-06T02:14:52Z</cp:lastPrinted>
  <dcterms:created xsi:type="dcterms:W3CDTF">2016-01-16T04:45:45Z</dcterms:created>
  <dcterms:modified xsi:type="dcterms:W3CDTF">2025-09-23T19:05:37Z</dcterms:modified>
</cp:coreProperties>
</file>